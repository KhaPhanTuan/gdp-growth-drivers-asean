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CV\"/>
    </mc:Choice>
  </mc:AlternateContent>
  <xr:revisionPtr revIDLastSave="0" documentId="13_ncr:1_{43720694-94AD-4FDA-9546-6F8C8F4FB00A}" xr6:coauthVersionLast="47" xr6:coauthVersionMax="47" xr10:uidLastSave="{00000000-0000-0000-0000-000000000000}"/>
  <bookViews>
    <workbookView xWindow="1884" yWindow="1872" windowWidth="14400" windowHeight="11808" activeTab="1" xr2:uid="{AB0D7ACE-184F-4C91-A3BC-A6A389031188}"/>
  </bookViews>
  <sheets>
    <sheet name="Sheet3" sheetId="3" r:id="rId1"/>
    <sheet name="Sheet1" sheetId="1" r:id="rId2"/>
  </sheets>
  <definedNames>
    <definedName name="_xlchart.v1.0" hidden="1">Sheet3!$A$1</definedName>
    <definedName name="_xlchart.v1.1" hidden="1">Sheet3!$A$2:$A$11</definedName>
    <definedName name="_xlchart.v1.10" hidden="1">Sheet3!$F$1</definedName>
    <definedName name="_xlchart.v1.11" hidden="1">Sheet3!$F$2:$F$11</definedName>
    <definedName name="_xlchart.v1.12" hidden="1">Sheet3!$G$1</definedName>
    <definedName name="_xlchart.v1.13" hidden="1">Sheet3!$G$2:$G$11</definedName>
    <definedName name="_xlchart.v1.14" hidden="1">Sheet3!$H$1</definedName>
    <definedName name="_xlchart.v1.15" hidden="1">Sheet3!$H$2:$H$11</definedName>
    <definedName name="_xlchart.v1.16" hidden="1">Sheet3!$I$1</definedName>
    <definedName name="_xlchart.v1.17" hidden="1">Sheet3!$I$2:$I$11</definedName>
    <definedName name="_xlchart.v1.18" hidden="1">Sheet3!$J$1</definedName>
    <definedName name="_xlchart.v1.19" hidden="1">Sheet3!$J$2:$J$11</definedName>
    <definedName name="_xlchart.v1.2" hidden="1">Sheet3!$B$1</definedName>
    <definedName name="_xlchart.v1.20" hidden="1">Sheet3!$K$1</definedName>
    <definedName name="_xlchart.v1.21" hidden="1">Sheet3!$K$2:$K$11</definedName>
    <definedName name="_xlchart.v1.22" hidden="1">Sheet1!$C$2:$C$111</definedName>
    <definedName name="_xlchart.v1.3" hidden="1">Sheet3!$B$2:$B$11</definedName>
    <definedName name="_xlchart.v1.4" hidden="1">Sheet3!$C$1</definedName>
    <definedName name="_xlchart.v1.5" hidden="1">Sheet3!$C$2:$C$11</definedName>
    <definedName name="_xlchart.v1.6" hidden="1">Sheet3!$D$1</definedName>
    <definedName name="_xlchart.v1.7" hidden="1">Sheet3!$D$2:$D$11</definedName>
    <definedName name="_xlchart.v1.8" hidden="1">Sheet3!$E$1</definedName>
    <definedName name="_xlchart.v1.9" hidden="1">Sheet3!$E$2:$E$11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2" i="1"/>
  <c r="K3" i="1"/>
</calcChain>
</file>

<file path=xl/sharedStrings.xml><?xml version="1.0" encoding="utf-8"?>
<sst xmlns="http://schemas.openxmlformats.org/spreadsheetml/2006/main" count="168" uniqueCount="29">
  <si>
    <t>country</t>
  </si>
  <si>
    <t>year</t>
  </si>
  <si>
    <t>gdp_growth</t>
  </si>
  <si>
    <t>industry_growth</t>
  </si>
  <si>
    <t>service_growth</t>
  </si>
  <si>
    <t>agriculture_growth</t>
  </si>
  <si>
    <t>fdi_net_inflow</t>
  </si>
  <si>
    <t>Brunei</t>
  </si>
  <si>
    <t>Cambodia</t>
  </si>
  <si>
    <t>Indonesia</t>
  </si>
  <si>
    <t>Lao PDR</t>
  </si>
  <si>
    <t>Malaysia</t>
  </si>
  <si>
    <t>Myanmar</t>
  </si>
  <si>
    <t>Philippines</t>
  </si>
  <si>
    <t>Singapore</t>
  </si>
  <si>
    <t>Thailand</t>
  </si>
  <si>
    <t>Viet Nam</t>
  </si>
  <si>
    <t>Timor-Leste</t>
  </si>
  <si>
    <t>inflation</t>
  </si>
  <si>
    <t>Variable</t>
  </si>
  <si>
    <t>Coefficient</t>
  </si>
  <si>
    <t>Industry Growth</t>
  </si>
  <si>
    <t>Service Growth</t>
  </si>
  <si>
    <t>Agriculture Growth</t>
  </si>
  <si>
    <t>FDI</t>
  </si>
  <si>
    <t>Inflation</t>
  </si>
  <si>
    <t>Row Labels</t>
  </si>
  <si>
    <t>Grand Total</t>
  </si>
  <si>
    <t>Average of gdp_growth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</si>
</sst>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2" fontId="1" fillId="0" borderId="0" xfId="1" applyNumberFormat="1"/>
  </cellXfs>
  <cellStyles count="2">
    <cellStyle name="Normal" xfId="0" builtinId="0"/>
    <cellStyle name="Normal 2" xfId="1" xr:uid="{79F03363-8506-4B6D-B4D2-8A6BF3CB6EAF}"/>
  </cellStyles>
  <dxfs count="0"/>
  <tableStyles count="0" defaultTableStyle="TableStyleMedium2" defaultPivotStyle="PivotStyleLight16"/>
  <colors>
    <mruColors>
      <color rgb="FFCD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Sector Growth (2014 – 2023)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Sheet1!$J$2:$J$4</c:f>
              <c:strCache>
                <c:ptCount val="3"/>
                <c:pt idx="0">
                  <c:v>Industry Growth</c:v>
                </c:pt>
                <c:pt idx="1">
                  <c:v>Service Growth</c:v>
                </c:pt>
                <c:pt idx="2">
                  <c:v>Agriculture Growth</c:v>
                </c:pt>
              </c:strCache>
            </c:strRef>
          </c:cat>
          <c:val>
            <c:numRef>
              <c:f>Sheet1!$K$2:$K$4</c:f>
              <c:numCache>
                <c:formatCode>0.000000</c:formatCode>
                <c:ptCount val="3"/>
                <c:pt idx="0">
                  <c:v>5.2882036701547586</c:v>
                </c:pt>
                <c:pt idx="1">
                  <c:v>3.9784987392167341</c:v>
                </c:pt>
                <c:pt idx="2">
                  <c:v>1.4262554182128724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B-45D4-B33B-581F65B1E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73839"/>
        <c:axId val="129874319"/>
      </c:barChart>
      <c:catAx>
        <c:axId val="12987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74319"/>
        <c:crosses val="autoZero"/>
        <c:auto val="1"/>
        <c:lblAlgn val="ctr"/>
        <c:lblOffset val="100"/>
        <c:noMultiLvlLbl val="0"/>
      </c:catAx>
      <c:valAx>
        <c:axId val="12987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Sector Growth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73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Estimated Regression Coefficients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535996066757888"/>
          <c:y val="0.14265473405475337"/>
          <c:w val="0.77631738799870642"/>
          <c:h val="0.7787669878201822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CD3333">
                      <a:shade val="30000"/>
                      <a:satMod val="115000"/>
                    </a:srgbClr>
                  </a:gs>
                  <a:gs pos="50000">
                    <a:srgbClr val="CD3333">
                      <a:shade val="67500"/>
                      <a:satMod val="115000"/>
                    </a:srgbClr>
                  </a:gs>
                  <a:gs pos="100000">
                    <a:srgbClr val="CD3333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824-4BF6-9B1C-A1269CAC39BD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CD3333">
                      <a:shade val="30000"/>
                      <a:satMod val="115000"/>
                    </a:srgbClr>
                  </a:gs>
                  <a:gs pos="50000">
                    <a:srgbClr val="CD3333">
                      <a:shade val="67500"/>
                      <a:satMod val="115000"/>
                    </a:srgbClr>
                  </a:gs>
                  <a:gs pos="100000">
                    <a:srgbClr val="CD3333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24-4BF6-9B1C-A1269CAC39BD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chemeClr val="accent1">
                      <a:shade val="30000"/>
                      <a:satMod val="115000"/>
                    </a:schemeClr>
                  </a:gs>
                  <a:gs pos="50000">
                    <a:schemeClr val="accent1">
                      <a:shade val="67500"/>
                      <a:satMod val="115000"/>
                    </a:schemeClr>
                  </a:gs>
                  <a:gs pos="100000">
                    <a:schemeClr val="accent1">
                      <a:shade val="100000"/>
                      <a:satMod val="1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24-4BF6-9B1C-A1269CAC39BD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chemeClr val="tx2">
                      <a:lumMod val="50000"/>
                      <a:lumOff val="50000"/>
                      <a:shade val="30000"/>
                      <a:satMod val="115000"/>
                    </a:schemeClr>
                  </a:gs>
                  <a:gs pos="50000">
                    <a:schemeClr val="tx2">
                      <a:lumMod val="50000"/>
                      <a:lumOff val="50000"/>
                      <a:shade val="67500"/>
                      <a:satMod val="115000"/>
                    </a:schemeClr>
                  </a:gs>
                  <a:gs pos="100000">
                    <a:schemeClr val="tx2">
                      <a:lumMod val="50000"/>
                      <a:lumOff val="50000"/>
                      <a:shade val="100000"/>
                      <a:satMod val="1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824-4BF6-9B1C-A1269CAC39BD}"/>
              </c:ext>
            </c:extLst>
          </c:dPt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chemeClr val="accent1">
                      <a:shade val="30000"/>
                      <a:satMod val="115000"/>
                    </a:schemeClr>
                  </a:gs>
                  <a:gs pos="50000">
                    <a:schemeClr val="accent1">
                      <a:shade val="67500"/>
                      <a:satMod val="115000"/>
                    </a:schemeClr>
                  </a:gs>
                  <a:gs pos="100000">
                    <a:schemeClr val="accent1">
                      <a:shade val="100000"/>
                      <a:satMod val="1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824-4BF6-9B1C-A1269CAC39BD}"/>
              </c:ext>
            </c:extLst>
          </c:dPt>
          <c:cat>
            <c:strRef>
              <c:f>Sheet1!$J$7:$J$11</c:f>
              <c:strCache>
                <c:ptCount val="5"/>
                <c:pt idx="0">
                  <c:v>FDI</c:v>
                </c:pt>
                <c:pt idx="1">
                  <c:v>Inflation</c:v>
                </c:pt>
                <c:pt idx="2">
                  <c:v>Agriculture Growth</c:v>
                </c:pt>
                <c:pt idx="3">
                  <c:v>Industry Growth</c:v>
                </c:pt>
                <c:pt idx="4">
                  <c:v>Service Growth</c:v>
                </c:pt>
              </c:strCache>
            </c:strRef>
          </c:cat>
          <c:val>
            <c:numRef>
              <c:f>Sheet1!$K$7:$K$11</c:f>
              <c:numCache>
                <c:formatCode>General</c:formatCode>
                <c:ptCount val="5"/>
                <c:pt idx="0">
                  <c:v>-4.4999999999999998E-2</c:v>
                </c:pt>
                <c:pt idx="1">
                  <c:v>-2.8000000000000001E-2</c:v>
                </c:pt>
                <c:pt idx="2">
                  <c:v>2.7E-2</c:v>
                </c:pt>
                <c:pt idx="3">
                  <c:v>0.249</c:v>
                </c:pt>
                <c:pt idx="4">
                  <c:v>0.59299999999999997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4-4BF6-9B1C-A1269CAC3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6668975"/>
        <c:axId val="1476669455"/>
      </c:barChart>
      <c:catAx>
        <c:axId val="1476668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669455"/>
        <c:crosses val="autoZero"/>
        <c:auto val="1"/>
        <c:lblAlgn val="ctr"/>
        <c:lblOffset val="100"/>
        <c:noMultiLvlLbl val="0"/>
      </c:catAx>
      <c:valAx>
        <c:axId val="147666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66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  <cx:data id="7">
      <cx:numDim type="val">
        <cx:f>_xlchart.v1.15</cx:f>
      </cx:numDim>
    </cx:data>
    <cx:data id="8">
      <cx:numDim type="val">
        <cx:f>_xlchart.v1.17</cx:f>
      </cx:numDim>
    </cx:data>
    <cx:data id="9">
      <cx:numDim type="val">
        <cx:f>_xlchart.v1.19</cx:f>
      </cx:numDim>
    </cx:data>
    <cx:data id="10">
      <cx:numDim type="val">
        <cx:f>_xlchart.v1.21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Chart Title</a:t>
          </a:r>
        </a:p>
      </cx:txPr>
    </cx:title>
    <cx:plotArea>
      <cx:plotAreaRegion>
        <cx:series layoutId="boxWhisker" uniqueId="{5DEF62FD-E86D-4351-AA60-EE6E7D95BAAE}">
          <cx:tx>
            <cx:txData>
              <cx:f>_xlchart.v1.0</cx:f>
              <cx:v>Brunei</cx:v>
            </cx:txData>
          </cx:tx>
          <cx:dataId val="0"/>
          <cx:layoutPr>
            <cx:statistics quartileMethod="exclusive"/>
          </cx:layoutPr>
        </cx:series>
        <cx:series layoutId="boxWhisker" uniqueId="{52025523-0F42-4B0F-A9E2-DD6024105329}">
          <cx:tx>
            <cx:txData>
              <cx:f>_xlchart.v1.2</cx:f>
              <cx:v>Cambodia</cx:v>
            </cx:txData>
          </cx:tx>
          <cx:dataId val="1"/>
          <cx:layoutPr>
            <cx:statistics quartileMethod="exclusive"/>
          </cx:layoutPr>
        </cx:series>
        <cx:series layoutId="boxWhisker" uniqueId="{98439A08-C697-4CC9-9AE8-6F816D0CC0F9}">
          <cx:tx>
            <cx:txData>
              <cx:f>_xlchart.v1.4</cx:f>
              <cx:v>Indonesia</cx:v>
            </cx:txData>
          </cx:tx>
          <cx:dataId val="2"/>
          <cx:layoutPr>
            <cx:statistics quartileMethod="exclusive"/>
          </cx:layoutPr>
        </cx:series>
        <cx:series layoutId="boxWhisker" uniqueId="{B859F5FC-A15E-4DF4-A384-3AD5A88C1894}">
          <cx:tx>
            <cx:txData>
              <cx:f>_xlchart.v1.6</cx:f>
              <cx:v>Lao PDR</cx:v>
            </cx:txData>
          </cx:tx>
          <cx:dataId val="3"/>
          <cx:layoutPr>
            <cx:statistics quartileMethod="exclusive"/>
          </cx:layoutPr>
        </cx:series>
        <cx:series layoutId="boxWhisker" uniqueId="{690E2F98-2EEF-4A78-99EB-04F9BC1D8668}">
          <cx:tx>
            <cx:txData>
              <cx:f>_xlchart.v1.8</cx:f>
              <cx:v>Malaysia</cx:v>
            </cx:txData>
          </cx:tx>
          <cx:dataId val="4"/>
          <cx:layoutPr>
            <cx:statistics quartileMethod="exclusive"/>
          </cx:layoutPr>
        </cx:series>
        <cx:series layoutId="boxWhisker" uniqueId="{AC1ADB45-CF94-4797-82DE-55C5401A48B6}">
          <cx:tx>
            <cx:txData>
              <cx:f>_xlchart.v1.10</cx:f>
              <cx:v>Myanmar</cx:v>
            </cx:txData>
          </cx:tx>
          <cx:dataId val="5"/>
          <cx:layoutPr>
            <cx:statistics quartileMethod="exclusive"/>
          </cx:layoutPr>
        </cx:series>
        <cx:series layoutId="boxWhisker" uniqueId="{CE4F60D1-549D-49FB-9C1C-7CA59F3C4579}">
          <cx:tx>
            <cx:txData>
              <cx:f>_xlchart.v1.12</cx:f>
              <cx:v>Philippines</cx:v>
            </cx:txData>
          </cx:tx>
          <cx:dataId val="6"/>
          <cx:layoutPr>
            <cx:statistics quartileMethod="exclusive"/>
          </cx:layoutPr>
        </cx:series>
        <cx:series layoutId="boxWhisker" uniqueId="{2104A124-BE30-47F1-8377-8E40E8CDAF55}">
          <cx:tx>
            <cx:txData>
              <cx:f>_xlchart.v1.14</cx:f>
              <cx:v>Singapore</cx:v>
            </cx:txData>
          </cx:tx>
          <cx:dataId val="7"/>
          <cx:layoutPr>
            <cx:statistics quartileMethod="exclusive"/>
          </cx:layoutPr>
        </cx:series>
        <cx:series layoutId="boxWhisker" uniqueId="{7D24B06E-D741-4E1B-8D37-0F602F9C1871}">
          <cx:tx>
            <cx:txData>
              <cx:f>_xlchart.v1.16</cx:f>
              <cx:v>Thailand</cx:v>
            </cx:txData>
          </cx:tx>
          <cx:dataId val="8"/>
          <cx:layoutPr>
            <cx:statistics quartileMethod="exclusive"/>
          </cx:layoutPr>
        </cx:series>
        <cx:series layoutId="boxWhisker" uniqueId="{7F898339-BF1D-467E-B8C0-DEEF47558C6C}">
          <cx:tx>
            <cx:txData>
              <cx:f>_xlchart.v1.18</cx:f>
              <cx:v>Viet Nam</cx:v>
            </cx:txData>
          </cx:tx>
          <cx:dataId val="9"/>
          <cx:layoutPr>
            <cx:statistics quartileMethod="exclusive"/>
          </cx:layoutPr>
        </cx:series>
        <cx:series layoutId="boxWhisker" uniqueId="{1D9B2160-4996-4BF4-AC47-B2C63B5BF204}">
          <cx:tx>
            <cx:txData>
              <cx:f>_xlchart.v1.20</cx:f>
              <cx:v>Timor-Leste</cx:v>
            </cx:txData>
          </cx:tx>
          <cx:dataId val="10"/>
          <cx:layoutPr>
            <cx:statistics quartileMethod="exclusive"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  <cx:legend pos="t" align="ctr" overlay="0"/>
  </cx:chart>
  <cx:spPr>
    <a:ln>
      <a:solidFill>
        <a:schemeClr val="accent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GDP Growth Distribution (2014 - 2023)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DE901639-100B-44D6-A14A-BBA6F86FEA59}">
          <cx:spPr>
            <a:ln>
              <a:noFill/>
            </a:ln>
          </cx:spPr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txData>
              <cx:v>GDP Growth (%)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GDP Growth (%)</a:t>
              </a:r>
            </a:p>
          </cx:txPr>
        </cx:title>
        <cx:tickLabels/>
        <cx:numFmt formatCode="#,##0.0" sourceLinked="0"/>
      </cx:axis>
      <cx:axis id="1">
        <cx:valScaling max="60"/>
        <cx:title>
          <cx:tx>
            <cx:txData>
              <cx:v>Number of Observations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Observations</a:t>
              </a:r>
            </a:p>
          </cx:txPr>
        </cx:title>
        <cx:majorGridlines/>
        <cx:tickLabels/>
        <cx:numFmt formatCode="General" sourceLinked="0"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2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8</xdr:row>
      <xdr:rowOff>110490</xdr:rowOff>
    </xdr:from>
    <xdr:to>
      <xdr:col>14</xdr:col>
      <xdr:colOff>129540</xdr:colOff>
      <xdr:row>23</xdr:row>
      <xdr:rowOff>110490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001F1D2F-9353-0930-5075-863F0F22B8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0680" y="15735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53340</xdr:colOff>
      <xdr:row>1</xdr:row>
      <xdr:rowOff>106680</xdr:rowOff>
    </xdr:from>
    <xdr:to>
      <xdr:col>20</xdr:col>
      <xdr:colOff>487680</xdr:colOff>
      <xdr:row>19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91196A7-5EA7-2B9E-85CB-A3F7306BF1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0240" y="289560"/>
              <a:ext cx="5311140" cy="37223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52374</xdr:colOff>
      <xdr:row>20</xdr:row>
      <xdr:rowOff>69278</xdr:rowOff>
    </xdr:from>
    <xdr:to>
      <xdr:col>20</xdr:col>
      <xdr:colOff>473621</xdr:colOff>
      <xdr:row>38</xdr:row>
      <xdr:rowOff>134048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5C5EEE-8A26-B497-9399-8E367D3DE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503581</xdr:colOff>
      <xdr:row>1</xdr:row>
      <xdr:rowOff>137192</xdr:rowOff>
    </xdr:from>
    <xdr:to>
      <xdr:col>29</xdr:col>
      <xdr:colOff>310015</xdr:colOff>
      <xdr:row>19</xdr:row>
      <xdr:rowOff>164450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335757-0E49-2723-0FC6-878CBE87B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560294</xdr:colOff>
      <xdr:row>20</xdr:row>
      <xdr:rowOff>78441</xdr:rowOff>
    </xdr:from>
    <xdr:to>
      <xdr:col>29</xdr:col>
      <xdr:colOff>340702</xdr:colOff>
      <xdr:row>38</xdr:row>
      <xdr:rowOff>44823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2DDC798-D2E9-7827-0322-5105F15A4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92618" y="4045323"/>
          <a:ext cx="5226466" cy="3193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0.29216</cdr:x>
      <cdr:y>0.14251</cdr:y>
    </cdr:from>
    <cdr:to>
      <cdr:x>0.29216</cdr:x>
      <cdr:y>0.92432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CEAD4ACC-4101-EA23-DFB6-25F9C325B274}"/>
            </a:ext>
          </a:extLst>
        </cdr:cNvPr>
        <cdr:cNvCxnSpPr/>
      </cdr:nvCxnSpPr>
      <cdr:spPr>
        <a:xfrm xmlns:a="http://schemas.openxmlformats.org/drawingml/2006/main">
          <a:off x="1536700" y="528816"/>
          <a:ext cx="0" cy="2901108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97.441201388887" createdVersion="8" refreshedVersion="8" minRefreshableVersion="3" recordCount="110" xr:uid="{8FDE79EA-7BBB-4A49-ACE8-43355E84C4EC}">
  <cacheSource type="worksheet">
    <worksheetSource ref="A1:H111" sheet="Sheet1"/>
  </cacheSource>
  <cacheFields count="8">
    <cacheField name="country" numFmtId="0">
      <sharedItems count="11">
        <s v="Brunei"/>
        <s v="Cambodia"/>
        <s v="Indonesia"/>
        <s v="Lao PDR"/>
        <s v="Malaysia"/>
        <s v="Myanmar"/>
        <s v="Philippines"/>
        <s v="Singapore"/>
        <s v="Thailand"/>
        <s v="Viet Nam"/>
        <s v="Timor-Leste"/>
      </sharedItems>
    </cacheField>
    <cacheField name="year" numFmtId="0">
      <sharedItems containsSemiMixedTypes="0" containsString="0" containsNumber="1" containsInteger="1" minValue="2014" maxValue="2023"/>
    </cacheField>
    <cacheField name="gdp_growth" numFmtId="164">
      <sharedItems containsSemiMixedTypes="0" containsString="0" containsNumber="1" minValue="-20.584244040572997" maxValue="31.725741672141339"/>
    </cacheField>
    <cacheField name="industry_growth" numFmtId="164">
      <sharedItems containsSemiMixedTypes="0" containsString="0" containsNumber="1" minValue="-56.966984119100537" maxValue="143.49349170399285"/>
    </cacheField>
    <cacheField name="service_growth" numFmtId="164">
      <sharedItems containsSemiMixedTypes="0" containsString="0" containsNumber="1" minValue="-14.728354741344802" maxValue="14.625358478887108"/>
    </cacheField>
    <cacheField name="agriculture_growth" numFmtId="164">
      <sharedItems containsSemiMixedTypes="0" containsString="0" containsNumber="1" minValue="-12.820369515923545" maxValue="16.91829830095925"/>
    </cacheField>
    <cacheField name="fdi_net_inflow" numFmtId="164">
      <sharedItems containsSemiMixedTypes="0" containsString="0" containsNumber="1" minValue="-32.955231620375883" maxValue="34.948515307927416"/>
    </cacheField>
    <cacheField name="inflation" numFmtId="164">
      <sharedItems containsSemiMixedTypes="0" containsString="0" containsNumber="1" minValue="-20.83343802712767" maxValue="59.0838497110713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  <n v="2014"/>
    <n v="-2.5078872200000002"/>
    <n v="-4.3630674214564351"/>
    <n v="0.59333433311053341"/>
    <n v="4.7196619616305213"/>
    <n v="3.356609014311617"/>
    <n v="-1.8460154235559401"/>
  </r>
  <r>
    <x v="0"/>
    <n v="2015"/>
    <n v="-0.39238349"/>
    <n v="-3.3795363369421239E-2"/>
    <n v="-1.1319914126949158"/>
    <n v="6.3829891717557672"/>
    <n v="1.3247117972472036"/>
    <n v="-17.612743241263431"/>
  </r>
  <r>
    <x v="0"/>
    <n v="2016"/>
    <n v="-2.4779177699999999"/>
    <n v="-2.9425313678065521"/>
    <n v="-1.671276845563753"/>
    <n v="-3.5714370138984606"/>
    <n v="-1.3205904720093329"/>
    <n v="-9.1694951364625865"/>
  </r>
  <r>
    <x v="0"/>
    <n v="2017"/>
    <n v="1.3287265130000001"/>
    <n v="1.5144675949683801"/>
    <n v="1.084382705165325"/>
    <n v="-1.5565460176829191"/>
    <n v="3.8581882153314719"/>
    <n v="4.9552686823228385"/>
  </r>
  <r>
    <x v="0"/>
    <n v="2018"/>
    <n v="5.2371054E-2"/>
    <n v="-0.36379885049461791"/>
    <n v="0.78184503946674511"/>
    <n v="-1.5757692692639722"/>
    <n v="3.8048655254767092"/>
    <n v="9.2156248153434319"/>
  </r>
  <r>
    <x v="0"/>
    <n v="2019"/>
    <n v="3.868844164"/>
    <n v="4.1918168256827926"/>
    <n v="3.4479601299579201"/>
    <n v="-1.4131116827272336"/>
    <n v="2.7711800825842823"/>
    <n v="-3.3337276483038067"/>
  </r>
  <r>
    <x v="0"/>
    <n v="2020"/>
    <n v="1.133573406"/>
    <n v="2.9091489107698294"/>
    <n v="-2.0829679218654604"/>
    <n v="14.394442232547775"/>
    <n v="4.7105756488046602"/>
    <n v="-10.863759499400032"/>
  </r>
  <r>
    <x v="0"/>
    <n v="2021"/>
    <n v="-1.59076248"/>
    <n v="-4.166801115822949"/>
    <n v="2.4701859812958276"/>
    <n v="16.91829830095925"/>
    <n v="1.4618172227719282"/>
    <n v="15.465928436394492"/>
  </r>
  <r>
    <x v="0"/>
    <n v="2022"/>
    <n v="-1.62833154"/>
    <n v="-4.9070997859401899"/>
    <n v="3.769779936245385"/>
    <n v="-3.3105524525653749"/>
    <n v="-1.7529337088212229"/>
    <n v="24.23672668028756"/>
  </r>
  <r>
    <x v="0"/>
    <n v="2023"/>
    <n v="1.4070683230000001"/>
    <n v="-1.4297650334421377"/>
    <n v="5.912364093838903"/>
    <n v="-9.0223219374480124"/>
    <n v="-0.33706803706166977"/>
    <n v="-12.896195628732443"/>
  </r>
  <r>
    <x v="1"/>
    <n v="2014"/>
    <n v="8.0003207459999999"/>
    <n v="11.151750910286438"/>
    <n v="9.8073370864619278"/>
    <n v="0.58674123378494869"/>
    <n v="8.4090202030066035"/>
    <n v="3.2993691205076345"/>
  </r>
  <r>
    <x v="1"/>
    <n v="2015"/>
    <n v="7.2070347249999998"/>
    <n v="12.573055632750936"/>
    <n v="6.9051985137206628"/>
    <n v="0.19176982033633294"/>
    <n v="7.5402966200198804"/>
    <n v="3.0693593414164297"/>
  </r>
  <r>
    <x v="1"/>
    <n v="2016"/>
    <n v="7.9055011610000001"/>
    <n v="13.688214990116037"/>
    <n v="6.7933905781899"/>
    <n v="1.32253716718634"/>
    <n v="9.3231850730576777"/>
    <n v="1.5800748057582865"/>
  </r>
  <r>
    <x v="1"/>
    <n v="2017"/>
    <n v="8.0750391550000007"/>
    <n v="13.058364958316787"/>
    <n v="6.9788573901911235"/>
    <n v="1.6760264798822817"/>
    <n v="9.4976020309874656"/>
    <n v="2.0765070915485211"/>
  </r>
  <r>
    <x v="1"/>
    <n v="2018"/>
    <n v="8.7762237620000008"/>
    <n v="14.797430898641494"/>
    <n v="7.1149615149931407"/>
    <n v="1.1037712227059302"/>
    <n v="9.6924030002711525"/>
    <n v="3.8165809450680683"/>
  </r>
  <r>
    <x v="1"/>
    <n v="2019"/>
    <n v="7.9369501360000001"/>
    <n v="13.039302557760848"/>
    <n v="6.556641282307794"/>
    <n v="-0.35710175859749427"/>
    <n v="9.9850004420280793"/>
    <n v="2.7925574107017184"/>
  </r>
  <r>
    <x v="1"/>
    <n v="2020"/>
    <n v="-3.5557219299999998"/>
    <n v="-2.2081619418848959"/>
    <n v="-6.6822873748034226"/>
    <n v="0.59328403172402489"/>
    <n v="10.41023980932601"/>
    <n v="-0.82428140283251139"/>
  </r>
  <r>
    <x v="1"/>
    <n v="2021"/>
    <n v="3.0898428409999998"/>
    <n v="8.408386448253637"/>
    <n v="-1.8294609757719371"/>
    <n v="1.5385018068948568"/>
    <n v="9.4684591111041012"/>
    <n v="2.6457340350188474"/>
  </r>
  <r>
    <x v="1"/>
    <n v="2022"/>
    <n v="5.1033688870000002"/>
    <n v="8.166600791377121"/>
    <n v="3.5974536969155793"/>
    <n v="0.59932537516635875"/>
    <n v="8.948301257795368"/>
    <n v="3.5150248314330241"/>
  </r>
  <r>
    <x v="1"/>
    <n v="2023"/>
    <n v="4.9600665890000002"/>
    <n v="5.3090026202704337"/>
    <n v="5.9793766099056995"/>
    <n v="1.0983459201399768"/>
    <n v="9.3509670198975776"/>
    <n v="1.0630960724275837"/>
  </r>
  <r>
    <x v="2"/>
    <n v="2014"/>
    <n v="5.0066684260000001"/>
    <n v="4.2322114876393755"/>
    <n v="6.017141862195146"/>
    <n v="4.2386786291508542"/>
    <n v="2.8199726041923228"/>
    <n v="5.4431745493561152"/>
  </r>
  <r>
    <x v="2"/>
    <n v="2015"/>
    <n v="4.8763223"/>
    <n v="2.9918310629880125"/>
    <n v="5.4518805345383754"/>
    <n v="3.754749446150754"/>
    <n v="2.2976163937203249"/>
    <n v="3.9802426601396093"/>
  </r>
  <r>
    <x v="2"/>
    <n v="2016"/>
    <n v="5.0330691830000003"/>
    <n v="3.8244822608364473"/>
    <n v="5.6644330185689142"/>
    <n v="3.3727296644880909"/>
    <n v="0.48737247137070988"/>
    <n v="2.4389240868820679"/>
  </r>
  <r>
    <x v="2"/>
    <n v="2017"/>
    <n v="5.0697859010000004"/>
    <n v="4.0911314573353508"/>
    <n v="5.6537808563192726"/>
    <n v="3.9159325012355879"/>
    <n v="2.0194891981092153"/>
    <n v="4.2926781219952517"/>
  </r>
  <r>
    <x v="2"/>
    <n v="2018"/>
    <n v="5.1742915399999996"/>
    <n v="4.3432633121690571"/>
    <n v="5.8213432337807376"/>
    <n v="3.8841579664960193"/>
    <n v="1.8142897935555822"/>
    <n v="3.8183235694333462"/>
  </r>
  <r>
    <x v="2"/>
    <n v="2019"/>
    <n v="5.0192876799999997"/>
    <n v="3.809958371917304"/>
    <n v="6.3918052296694157"/>
    <n v="3.6065015723811626"/>
    <n v="2.233362042751375"/>
    <n v="1.5984884998414373"/>
  </r>
  <r>
    <x v="2"/>
    <n v="2020"/>
    <n v="-2.0655118300000002"/>
    <n v="-2.8001359822063563"/>
    <n v="-1.4535690821674336"/>
    <n v="1.7719887734715769"/>
    <n v="1.8105840202489156"/>
    <n v="-0.40165143521899438"/>
  </r>
  <r>
    <x v="2"/>
    <n v="2021"/>
    <n v="3.7028856280000002"/>
    <n v="3.4171580761277909"/>
    <n v="3.5447614282341817"/>
    <n v="1.8711564555079008"/>
    <n v="1.7878556314791509"/>
    <n v="6.0039732213620738"/>
  </r>
  <r>
    <x v="2"/>
    <n v="2022"/>
    <n v="5.3074193479999998"/>
    <n v="4.1056413550647903"/>
    <n v="6.4540906912683909"/>
    <n v="2.2548429846682438"/>
    <n v="1.8726763810112272"/>
    <n v="9.566686845253372"/>
  </r>
  <r>
    <x v="2"/>
    <n v="2023"/>
    <n v="5.0481057710000004"/>
    <n v="4.9976787205650197"/>
    <n v="6.1264316363052842"/>
    <n v="1.3047085872009774"/>
    <n v="1.6107336016040377"/>
    <n v="1.5330736733458963"/>
  </r>
  <r>
    <x v="3"/>
    <n v="2014"/>
    <n v="7.6119634400000002"/>
    <n v="7.3097158891616942"/>
    <n v="8.1119901966237364"/>
    <n v="4.1498040727179273"/>
    <n v="6.5338508612015858"/>
    <n v="5.7265591817456425"/>
  </r>
  <r>
    <x v="3"/>
    <n v="2015"/>
    <n v="7.2700658440000003"/>
    <n v="7.0111786624828483"/>
    <n v="8.0161173212713379"/>
    <n v="3.5650403996792619"/>
    <n v="7.4707577729273051"/>
    <n v="2.3484960068591789"/>
  </r>
  <r>
    <x v="3"/>
    <n v="2016"/>
    <n v="7.0228362549999996"/>
    <n v="11.997922966492553"/>
    <n v="4.6511074065253695"/>
    <n v="2.7574295753677518"/>
    <n v="5.8777443615571574"/>
    <n v="3.0223064425633765"/>
  </r>
  <r>
    <x v="3"/>
    <n v="2017"/>
    <n v="6.8925308730000001"/>
    <n v="11.607167207570839"/>
    <n v="4.5126641330814863"/>
    <n v="2.8746957227309622"/>
    <n v="9.917786835071734"/>
    <n v="1.8520967612112287"/>
  </r>
  <r>
    <x v="3"/>
    <n v="2018"/>
    <n v="6.2479600079999997"/>
    <n v="7.8097891161449553"/>
    <n v="6.7891825980925802"/>
    <n v="1.2676056338028161"/>
    <n v="7.4856486219065985"/>
    <n v="1.9198891939175411"/>
  </r>
  <r>
    <x v="3"/>
    <n v="2019"/>
    <n v="5.4577350920000001"/>
    <n v="5.6030281738026702"/>
    <n v="6.861185873909136"/>
    <n v="1.2183588317107024"/>
    <n v="4.0314913923107065"/>
    <n v="1.1974239210929198"/>
  </r>
  <r>
    <x v="3"/>
    <n v="2020"/>
    <n v="0.50303182899999999"/>
    <n v="3.9625918589427158"/>
    <n v="-3.5146896143792077"/>
    <n v="3.2177365560074804"/>
    <n v="5.0980719349108661"/>
    <n v="5.0345041254451672"/>
  </r>
  <r>
    <x v="3"/>
    <n v="2021"/>
    <n v="2.5283510050000002"/>
    <n v="7.6058896410072094"/>
    <n v="-2.0920197088779133"/>
    <n v="2.289259561066757"/>
    <n v="5.6934469595732882"/>
    <n v="3.7134483668755252"/>
  </r>
  <r>
    <x v="3"/>
    <n v="2022"/>
    <n v="2.7074265259999999"/>
    <n v="3.3355535238842577"/>
    <n v="2.4578399270518219"/>
    <n v="1.6463863603886466"/>
    <n v="4.6950922578970777"/>
    <n v="15.773945922601101"/>
  </r>
  <r>
    <x v="3"/>
    <n v="2023"/>
    <n v="3.7456814020000002"/>
    <n v="2.6087292471825236"/>
    <n v="5.4780368753425392"/>
    <n v="2.3813055756414627"/>
    <n v="11.242563095940834"/>
    <n v="24.421720206669235"/>
  </r>
  <r>
    <x v="4"/>
    <n v="2014"/>
    <n v="6.0067219459999999"/>
    <n v="5.8743092061200883"/>
    <n v="6.7679331901099715"/>
    <n v="2.047575647736096"/>
    <n v="3.1412294036534822"/>
    <n v="2.4674667836637809"/>
  </r>
  <r>
    <x v="4"/>
    <n v="2015"/>
    <n v="5.0915324220000002"/>
    <n v="5.2335134465544257"/>
    <n v="5.3358190056524535"/>
    <n v="1.4487146668141264"/>
    <n v="3.2709440293173451"/>
    <n v="1.2180557335533848"/>
  </r>
  <r>
    <x v="4"/>
    <n v="2016"/>
    <n v="4.4497813979999998"/>
    <n v="4.3438004110224711"/>
    <n v="5.7134082793454155"/>
    <n v="-3.6518725842996105"/>
    <n v="4.4713095859865124"/>
    <n v="1.65825996642414"/>
  </r>
  <r>
    <x v="4"/>
    <n v="2017"/>
    <n v="5.8127224100000001"/>
    <n v="4.6661598053313611"/>
    <n v="6.4612531870509144"/>
    <n v="5.8865467082371197"/>
    <n v="2.9358203805856053"/>
    <n v="3.7789609430645328"/>
  </r>
  <r>
    <x v="4"/>
    <n v="2018"/>
    <n v="4.8430869760000004"/>
    <n v="3.3351543846869873"/>
    <n v="6.955080381558389"/>
    <n v="0.12863158106301853"/>
    <n v="2.3145872121973436"/>
    <n v="0.62467467458664316"/>
  </r>
  <r>
    <x v="4"/>
    <n v="2019"/>
    <n v="4.4131874209999999"/>
    <n v="2.5938755010250532"/>
    <n v="6.1568880770598327"/>
    <n v="1.9430532834188199"/>
    <n v="2.5069770574804409"/>
    <n v="7.1826909312136422E-2"/>
  </r>
  <r>
    <x v="4"/>
    <n v="2020"/>
    <n v="-5.4568465799999997"/>
    <n v="-6.0879854947991134"/>
    <n v="-5.434107083276345"/>
    <n v="-2.4258415130005062"/>
    <n v="1.2027546425582092"/>
    <n v="-0.818007729183023"/>
  </r>
  <r>
    <x v="4"/>
    <n v="2021"/>
    <n v="3.315349544"/>
    <n v="5.7412415760935858"/>
    <n v="2.2105237753611533"/>
    <n v="-0.26815425440676677"/>
    <n v="5.4162598491469192"/>
    <n v="5.6759384876411616"/>
  </r>
  <r>
    <x v="4"/>
    <n v="2022"/>
    <n v="8.8618218760000005"/>
    <n v="6.6512394821303502"/>
    <n v="11.409937031311273"/>
    <n v="1.253686203208531"/>
    <n v="3.6868933626923797"/>
    <n v="6.4034851182009618"/>
  </r>
  <r>
    <x v="4"/>
    <n v="2023"/>
    <n v="3.5554871540000001"/>
    <n v="1.3278769518903175"/>
    <n v="5.2386474793401021"/>
    <n v="0.72890524358729181"/>
    <n v="1.9811104929511123"/>
    <n v="-1.8722556253783722"/>
  </r>
  <r>
    <x v="5"/>
    <n v="2014"/>
    <n v="8.1699074560000007"/>
    <n v="0.31107976188214082"/>
    <n v="14.625358478887108"/>
    <n v="9.3441121818833608"/>
    <n v="3.3190442140734855"/>
    <n v="3.910225192706335"/>
  </r>
  <r>
    <x v="5"/>
    <n v="2015"/>
    <n v="6.9928402900000002"/>
    <n v="8.3246671159577232"/>
    <n v="8.6631290887324184"/>
    <n v="3.4080435929349591"/>
    <n v="6.8512409871117921"/>
    <n v="4.136696739083277"/>
  </r>
  <r>
    <x v="5"/>
    <n v="2016"/>
    <n v="5.8624729149999997"/>
    <n v="21.777837983113784"/>
    <n v="2.8879906373430657"/>
    <n v="-6.4603902302189908"/>
    <n v="5.1788013251746579"/>
    <n v="3.615678095362739"/>
  </r>
  <r>
    <x v="5"/>
    <n v="2017"/>
    <n v="6.1361082439999999"/>
    <n v="9.6731210871748203"/>
    <n v="7.8224864223773096"/>
    <n v="-1.2940453571297894"/>
    <n v="7.2733555521281605"/>
    <n v="5.8734089465466042"/>
  </r>
  <r>
    <x v="5"/>
    <n v="2018"/>
    <n v="6.2688622150000004"/>
    <n v="5.9180973103496228"/>
    <n v="8.6723094524076032"/>
    <n v="2.6866858228321604"/>
    <n v="2.6056322985110625"/>
    <n v="5.3410946399101107"/>
  </r>
  <r>
    <x v="5"/>
    <n v="2019"/>
    <n v="6.5791100680000003"/>
    <n v="7.9588674292936616"/>
    <n v="7.8085154315010357"/>
    <n v="2.212655268518489"/>
    <n v="2.3121121119436379"/>
    <n v="5.4229330046849498"/>
  </r>
  <r>
    <x v="5"/>
    <n v="2020"/>
    <n v="-9.0483471800000004"/>
    <n v="-11.789270282901938"/>
    <n v="-8.4354447542345383"/>
    <n v="-5.7248010285026965"/>
    <n v="2.0185919999999999"/>
    <n v="5.3441100080658543"/>
  </r>
  <r>
    <x v="5"/>
    <n v="2021"/>
    <n v="-12.016372499999999"/>
    <n v="-8.2145280069178597"/>
    <n v="-14.728354741344802"/>
    <n v="-12.820369515923545"/>
    <n v="1.7250719999999999"/>
    <n v="19.517209372092907"/>
  </r>
  <r>
    <x v="5"/>
    <n v="2022"/>
    <n v="4.0374934360000001"/>
    <n v="8.0190584826028299"/>
    <n v="3.9238515862779053"/>
    <n v="-2.1865714504585156"/>
    <n v="1.4315519999999999"/>
    <n v="6.1637164891326961"/>
  </r>
  <r>
    <x v="5"/>
    <n v="2023"/>
    <n v="0.958446625"/>
    <n v="2.3708737754617459E-2"/>
    <n v="1.2920327374955036"/>
    <n v="1.9828383131675054"/>
    <n v="1.138031"/>
    <n v="10.787666446261596"/>
  </r>
  <r>
    <x v="6"/>
    <n v="2014"/>
    <n v="6.3479874799999996"/>
    <n v="7.5003612826416628"/>
    <n v="6.7174996916788103"/>
    <n v="1.8730139704055091"/>
    <n v="1.9293752279783365"/>
    <n v="3.0530553080051277"/>
  </r>
  <r>
    <x v="6"/>
    <n v="2015"/>
    <n v="6.3483097150000001"/>
    <n v="6.5069084528675205"/>
    <n v="7.413640779676129"/>
    <n v="0.73611896294174528"/>
    <n v="1.8401801071530308"/>
    <n v="-0.71968278932669705"/>
  </r>
  <r>
    <x v="6"/>
    <n v="2016"/>
    <n v="7.1494567529999999"/>
    <n v="8.1887349341450744"/>
    <n v="8.174153963859581"/>
    <n v="-0.96300132867544619"/>
    <n v="2.5985080349764562"/>
    <n v="1.2803117382458993"/>
  </r>
  <r>
    <x v="6"/>
    <n v="2017"/>
    <n v="6.9309883250000004"/>
    <n v="7.0194577585201046"/>
    <n v="7.3564353019258419"/>
    <n v="4.2491447400463471"/>
    <n v="3.1223877840866816"/>
    <n v="2.3202599468014569"/>
  </r>
  <r>
    <x v="6"/>
    <n v="2018"/>
    <n v="6.3414855709999998"/>
    <n v="7.3029841076246385"/>
    <n v="6.7426058971701224"/>
    <n v="1.11765356616867"/>
    <n v="2.8683382607363828"/>
    <n v="3.7406538308698742"/>
  </r>
  <r>
    <x v="6"/>
    <n v="2019"/>
    <n v="6.1185256609999996"/>
    <n v="5.469628739259818"/>
    <n v="7.2433588278306758"/>
    <n v="1.2049501829222891"/>
    <n v="2.3011749859475743"/>
    <n v="0.69707630104534246"/>
  </r>
  <r>
    <x v="6"/>
    <n v="2020"/>
    <n v="-9.51829474"/>
    <n v="-13.121097355767361"/>
    <n v="-9.1272079405708411"/>
    <n v="-0.19421886386032838"/>
    <n v="1.8858636321117079"/>
    <n v="1.6504901854718952"/>
  </r>
  <r>
    <x v="6"/>
    <n v="2021"/>
    <n v="5.7147331340000003"/>
    <n v="8.5294081085000641"/>
    <n v="5.3665446563285997"/>
    <n v="-0.29096127020974905"/>
    <n v="3.040788553100473"/>
    <n v="2.2824784602485977"/>
  </r>
  <r>
    <x v="6"/>
    <n v="2022"/>
    <n v="7.5809821279999996"/>
    <n v="6.5228829975747118"/>
    <n v="9.2289937898674594"/>
    <n v="0.48018751456591247"/>
    <n v="2.347509723336898"/>
    <n v="5.4886482020200873"/>
  </r>
  <r>
    <x v="6"/>
    <n v="2023"/>
    <n v="5.5458511709999998"/>
    <n v="3.5908636237018072"/>
    <n v="7.1245739745995849"/>
    <n v="1.1869701996260318"/>
    <n v="2.0854107999024731"/>
    <n v="4.5964850619076856"/>
  </r>
  <r>
    <x v="7"/>
    <n v="2014"/>
    <n v="3.9355402769999999"/>
    <n v="3.8027643640614457"/>
    <n v="4.2962637583351011"/>
    <n v="3.2786885245901698"/>
    <n v="21.818488078267855"/>
    <n v="-0.26727004163480217"/>
  </r>
  <r>
    <x v="7"/>
    <n v="2015"/>
    <n v="2.9767993160000001"/>
    <n v="-2.5130899448876391"/>
    <n v="4.2333465792870868"/>
    <n v="-0.36075036075035882"/>
    <n v="22.654182689049165"/>
    <n v="3.0719550096641797"/>
  </r>
  <r>
    <x v="7"/>
    <n v="2016"/>
    <n v="3.5886436960000001"/>
    <n v="2.6264460913480576"/>
    <n v="3.0966927760040335"/>
    <n v="-0.43446777697320726"/>
    <n v="20.486523610258221"/>
    <n v="0.48962702899872568"/>
  </r>
  <r>
    <x v="7"/>
    <n v="2017"/>
    <n v="4.5129263179999999"/>
    <n v="6.7878857271709307"/>
    <n v="3.6085506831587111"/>
    <n v="2.9090909090909065"/>
    <n v="29.763651752570091"/>
    <n v="2.8940419140037363"/>
  </r>
  <r>
    <x v="7"/>
    <n v="2018"/>
    <n v="3.5171141850000001"/>
    <n v="5.6198228812647528"/>
    <n v="3.2382270090287193"/>
    <n v="3.1095406360424107"/>
    <n v="21.759291501698151"/>
    <n v="3.6041004347622732"/>
  </r>
  <r>
    <x v="7"/>
    <n v="2019"/>
    <n v="1.3450587409999999"/>
    <n v="-1.0450863160780841"/>
    <n v="2.1031582355534937"/>
    <n v="6.9225496915695572"/>
    <n v="28.094993576463619"/>
    <n v="-0.20441464095767969"/>
  </r>
  <r>
    <x v="7"/>
    <n v="2020"/>
    <n v="-3.86979893"/>
    <n v="-0.19151200747184305"/>
    <n v="-4.2170488992372839"/>
    <n v="-4.2307692307692264"/>
    <n v="23.100300518360761"/>
    <n v="-2.4385905692854664"/>
  </r>
  <r>
    <x v="7"/>
    <n v="2021"/>
    <n v="9.6907668709999992"/>
    <n v="15.544737255127103"/>
    <n v="7.6766797711906349"/>
    <n v="11.311914323962526"/>
    <n v="31.620740017912773"/>
    <n v="10.263766709231774"/>
  </r>
  <r>
    <x v="7"/>
    <n v="2022"/>
    <n v="3.8380767850000002"/>
    <n v="2.8978345692098202"/>
    <n v="4.8725683630082841"/>
    <n v="-7.6368009621166522"/>
    <n v="29.84379759508758"/>
    <n v="13.478138011365459"/>
  </r>
  <r>
    <x v="7"/>
    <n v="2023"/>
    <n v="1.075031751"/>
    <n v="-2.8884916238792187"/>
    <n v="2.2803444879917976"/>
    <n v="2.6041666666666714"/>
    <n v="34.948515307927416"/>
    <n v="-3.069029943647763"/>
  </r>
  <r>
    <x v="8"/>
    <n v="2014"/>
    <n v="0.984468864"/>
    <n v="-8.0875671448438879E-2"/>
    <n v="2.032611739044583"/>
    <n v="-0.28802253299311076"/>
    <n v="1.2214531801399844"/>
    <n v="1.441465365280294"/>
  </r>
  <r>
    <x v="8"/>
    <n v="2015"/>
    <n v="3.134047249"/>
    <n v="2.9532861351170254"/>
    <n v="5.07390753680437"/>
    <n v="-6.4665744316689029"/>
    <n v="2.2246854895978418"/>
    <n v="0.72211357341251414"/>
  </r>
  <r>
    <x v="8"/>
    <n v="2016"/>
    <n v="3.4351577170000001"/>
    <n v="2.6431864409218804"/>
    <n v="4.6825956282055046"/>
    <n v="-1.1576874179024372"/>
    <n v="0.84336434071861832"/>
    <n v="2.6361676199892798"/>
  </r>
  <r>
    <x v="8"/>
    <n v="2017"/>
    <n v="4.1776810319999997"/>
    <n v="1.7067358354771613"/>
    <n v="5.6407337677864433"/>
    <n v="4.8218242866975487"/>
    <n v="1.8155026010198714"/>
    <n v="1.8999449899776977"/>
  </r>
  <r>
    <x v="8"/>
    <n v="2018"/>
    <n v="4.2228702870000001"/>
    <n v="2.8563347884438741"/>
    <n v="4.8022242960185793"/>
    <n v="6.096792695884389"/>
    <n v="2.7127983513866241"/>
    <n v="1.4285861642072746"/>
  </r>
  <r>
    <x v="8"/>
    <n v="2019"/>
    <n v="2.1145577960000002"/>
    <n v="2.2574676527113979E-2"/>
    <n v="3.8453056134064099"/>
    <n v="-0.98004460790829739"/>
    <n v="1.0173487758004123"/>
    <n v="1.0144234064249673"/>
  </r>
  <r>
    <x v="8"/>
    <n v="2020"/>
    <n v="-6.0500384699999996"/>
    <n v="-5.2755764713308508"/>
    <n v="-6.9179592226136606"/>
    <n v="-3.1589781838523265"/>
    <n v="-0.85798952727449262"/>
    <n v="-1.2987750574158099"/>
  </r>
  <r>
    <x v="8"/>
    <n v="2021"/>
    <n v="1.5681817650000001"/>
    <n v="3.6705121064423167"/>
    <n v="0.24874857356276436"/>
    <n v="2.2455398815153416"/>
    <n v="3.0398815362560714"/>
    <n v="1.7710722634539593"/>
  </r>
  <r>
    <x v="8"/>
    <n v="2022"/>
    <n v="2.462769341"/>
    <n v="-9.2836650270285759E-2"/>
    <n v="4.0798841018846446"/>
    <n v="2.4865316010220369"/>
    <n v="2.3917959410139544"/>
    <n v="4.7669957873565352"/>
  </r>
  <r>
    <x v="8"/>
    <n v="2023"/>
    <n v="1.8872572510000001"/>
    <n v="-2.2707780479769326"/>
    <n v="4.4865412061451053"/>
    <n v="1.9922649610969643"/>
    <n v="1.2653285005047608"/>
    <n v="1.2202381182205784"/>
  </r>
  <r>
    <x v="9"/>
    <n v="2014"/>
    <n v="6.4222431210000002"/>
    <n v="6.2390850545800589"/>
    <n v="7.3120501563127931"/>
    <n v="3.2034626369745922"/>
    <n v="3.9408618905196091"/>
    <n v="3.6981379680881759"/>
  </r>
  <r>
    <x v="9"/>
    <n v="2015"/>
    <n v="6.9871543059999999"/>
    <n v="9.1931552773343697"/>
    <n v="7.0460200085556153"/>
    <n v="2.5070238062575783"/>
    <n v="4.931907733290215"/>
    <n v="-1.7165117074965508"/>
  </r>
  <r>
    <x v="9"/>
    <n v="2016"/>
    <n v="6.690008927"/>
    <n v="7.8256578593687465"/>
    <n v="7.4646675434633494"/>
    <n v="1.653772745064515"/>
    <n v="4.9008930291674586"/>
    <n v="1.8195359277991372"/>
  </r>
  <r>
    <x v="9"/>
    <n v="2017"/>
    <n v="6.9401903740000002"/>
    <n v="8.2846051746181075"/>
    <n v="7.1206957256041363"/>
    <n v="3.1683866049494895"/>
    <n v="5.0114872174968079"/>
    <n v="4.3629201476643118"/>
  </r>
  <r>
    <x v="9"/>
    <n v="2018"/>
    <n v="7.4650068559999996"/>
    <n v="8.988432763305326"/>
    <n v="7.4579769279135064"/>
    <n v="4.1154436210858023"/>
    <n v="4.9982831962232765"/>
    <n v="3.6266473002725945"/>
  </r>
  <r>
    <x v="9"/>
    <n v="2019"/>
    <n v="7.3592627009999996"/>
    <n v="8.2093673169314201"/>
    <n v="8.0820735627382874"/>
    <n v="2.6671019482330109"/>
    <n v="4.8210748610510024"/>
    <n v="2.423226942292672"/>
  </r>
  <r>
    <x v="9"/>
    <n v="2020"/>
    <n v="2.8654132090000002"/>
    <n v="4.3790534232763179"/>
    <n v="2.0055818744424698"/>
    <n v="3.0394185255144635"/>
    <n v="4.5583619678242355"/>
    <n v="1.4674781481081425"/>
  </r>
  <r>
    <x v="9"/>
    <n v="2021"/>
    <n v="2.553728526"/>
    <n v="3.2068518705093112"/>
    <n v="1.7490365390626437"/>
    <n v="3.7107538451098776"/>
    <n v="4.2731456619018733"/>
    <n v="2.8807679290064243"/>
  </r>
  <r>
    <x v="9"/>
    <n v="2022"/>
    <n v="8.1235144679999998"/>
    <n v="7.8661379349331213"/>
    <n v="10.112137480093494"/>
    <n v="3.4756473738608378"/>
    <n v="4.3624059864867979"/>
    <n v="4.0512423171263094"/>
  </r>
  <r>
    <x v="9"/>
    <n v="2023"/>
    <n v="5.0464307359999996"/>
    <n v="3.7411565686571038"/>
    <n v="6.8185305543404979"/>
    <n v="3.8334557918199295"/>
    <n v="4.3051592868617128"/>
    <n v="1.9062313018393127"/>
  </r>
  <r>
    <x v="10"/>
    <n v="2014"/>
    <n v="4.4724984656963755"/>
    <n v="-10.888993178164299"/>
    <n v="7.8318305491224578"/>
    <n v="-1.2436452193931444"/>
    <n v="2.3422913323763046"/>
    <n v="-0.72805110472585"/>
  </r>
  <r>
    <x v="10"/>
    <n v="2015"/>
    <n v="2.4800404021839739"/>
    <n v="22.207121341225957"/>
    <n v="4.5461138057738566"/>
    <n v="-4.3845383869274883"/>
    <n v="2.7036393033086448"/>
    <n v="7.202726567203527"/>
  </r>
  <r>
    <x v="10"/>
    <n v="2016"/>
    <n v="3.0099306255335136"/>
    <n v="7.6294125902371093"/>
    <n v="5.5856264226405727"/>
    <n v="-1.329821661680981"/>
    <n v="0.33397246121617014"/>
    <n v="0.14136707325886277"/>
  </r>
  <r>
    <x v="10"/>
    <n v="2017"/>
    <n v="-3.1824152248919546"/>
    <n v="-26.50058310734677"/>
    <n v="2.6281362803507449"/>
    <n v="-2.9485078188255898"/>
    <n v="0.42375096203898044"/>
    <n v="-0.21279945542860901"/>
  </r>
  <r>
    <x v="10"/>
    <n v="2018"/>
    <n v="-0.46650217065878508"/>
    <n v="5.2872090059785677"/>
    <n v="-1.3795193372188095"/>
    <n v="2.8938467358126303"/>
    <n v="3.0800781298022368"/>
    <n v="-1.3626949934396748"/>
  </r>
  <r>
    <x v="10"/>
    <n v="2019"/>
    <n v="24.212884008500097"/>
    <n v="143.49349170399285"/>
    <n v="0.30696399991654744"/>
    <n v="2.4535179715475124"/>
    <n v="-11.758373276240135"/>
    <n v="5.1642834586998845"/>
  </r>
  <r>
    <x v="10"/>
    <n v="2020"/>
    <n v="31.725741672141339"/>
    <n v="118.20963004120256"/>
    <n v="-7.2730137947641254"/>
    <n v="0.55830845013238672"/>
    <n v="-32.955231620375883"/>
    <n v="-19.226653104900237"/>
  </r>
  <r>
    <x v="10"/>
    <n v="2021"/>
    <n v="5.3631266272160047"/>
    <n v="5.6523225549457834"/>
    <n v="6.3701990846663819"/>
    <n v="5.4904818143881755"/>
    <n v="-11.55994438050584"/>
    <n v="59.083849711071338"/>
  </r>
  <r>
    <x v="10"/>
    <n v="2022"/>
    <n v="-20.584244040572997"/>
    <n v="-44.576866702749221"/>
    <n v="2.4233676723234083"/>
    <n v="5.3981279524537626"/>
    <n v="-12.322638735566544"/>
    <n v="11.458526307118461"/>
  </r>
  <r>
    <x v="10"/>
    <n v="2023"/>
    <n v="-18.117813376971824"/>
    <n v="-56.966984119100537"/>
    <n v="3.3365548701956413"/>
    <n v="2.2598668780467506"/>
    <n v="-2.4090238932745001"/>
    <n v="-20.833438027127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02018-DEF5-4010-8EB0-FE4B2B9A684A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4:Q16" firstHeaderRow="1" firstDataRow="1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10"/>
        <item x="9"/>
        <item t="default"/>
      </items>
    </pivotField>
    <pivotField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gdp_growth" fld="2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9518-A779-4AB3-9AE3-DB19AEEDFAD5}">
  <dimension ref="A1:Q48"/>
  <sheetViews>
    <sheetView workbookViewId="0">
      <selection sqref="A1:K11"/>
    </sheetView>
  </sheetViews>
  <sheetFormatPr defaultRowHeight="14.4" x14ac:dyDescent="0.3"/>
  <cols>
    <col min="1" max="1" width="12.44140625" bestFit="1" customWidth="1"/>
    <col min="2" max="2" width="19.44140625" bestFit="1" customWidth="1"/>
    <col min="4" max="4" width="10.5546875" bestFit="1" customWidth="1"/>
    <col min="5" max="6" width="9.21875" bestFit="1" customWidth="1"/>
    <col min="9" max="9" width="9.21875" bestFit="1" customWidth="1"/>
    <col min="10" max="10" width="10.21875" bestFit="1" customWidth="1"/>
    <col min="11" max="11" width="9.77734375" bestFit="1" customWidth="1"/>
    <col min="12" max="13" width="9.21875" bestFit="1" customWidth="1"/>
    <col min="15" max="15" width="10.5546875" bestFit="1" customWidth="1"/>
  </cols>
  <sheetData>
    <row r="1" spans="1:17" x14ac:dyDescent="0.3">
      <c r="A1" s="8" t="s">
        <v>7</v>
      </c>
      <c r="B1" s="8" t="s">
        <v>8</v>
      </c>
      <c r="C1" s="8" t="s">
        <v>9</v>
      </c>
      <c r="D1" s="9" t="s">
        <v>10</v>
      </c>
      <c r="E1" s="8" t="s">
        <v>11</v>
      </c>
      <c r="F1" s="8" t="s">
        <v>12</v>
      </c>
      <c r="G1" s="8" t="s">
        <v>13</v>
      </c>
      <c r="H1" s="8" t="s">
        <v>14</v>
      </c>
      <c r="I1" s="8" t="s">
        <v>15</v>
      </c>
      <c r="J1" s="8" t="s">
        <v>16</v>
      </c>
      <c r="K1" s="8" t="s">
        <v>17</v>
      </c>
    </row>
    <row r="2" spans="1:17" x14ac:dyDescent="0.3">
      <c r="A2" s="8">
        <v>-2.5078872200000002</v>
      </c>
      <c r="B2" s="8">
        <v>8.0003207459999999</v>
      </c>
      <c r="C2" s="8">
        <v>5.0066684260000001</v>
      </c>
      <c r="D2" s="8">
        <v>7.6119634400000002</v>
      </c>
      <c r="E2" s="8">
        <v>6.0067219459999999</v>
      </c>
      <c r="F2" s="8">
        <v>8.1699074560000007</v>
      </c>
      <c r="G2" s="8">
        <v>6.3479874799999996</v>
      </c>
      <c r="H2" s="8">
        <v>3.9355402769999999</v>
      </c>
      <c r="I2" s="8">
        <v>0.984468864</v>
      </c>
      <c r="J2" s="8">
        <v>6.4222431210000002</v>
      </c>
      <c r="K2" s="8">
        <v>4.47249846569638</v>
      </c>
    </row>
    <row r="3" spans="1:17" x14ac:dyDescent="0.3">
      <c r="A3" s="8">
        <v>-0.39238349</v>
      </c>
      <c r="B3" s="8">
        <v>7.2070347249999998</v>
      </c>
      <c r="C3" s="8">
        <v>4.8763223</v>
      </c>
      <c r="D3" s="8">
        <v>7.2700658440000003</v>
      </c>
      <c r="E3" s="8">
        <v>5.0915324220000002</v>
      </c>
      <c r="F3" s="8">
        <v>6.9928402900000002</v>
      </c>
      <c r="G3" s="8">
        <v>6.3483097150000001</v>
      </c>
      <c r="H3" s="8">
        <v>2.9767993160000001</v>
      </c>
      <c r="I3" s="8">
        <v>3.134047249</v>
      </c>
      <c r="J3" s="8">
        <v>6.9871543059999999</v>
      </c>
      <c r="K3" s="8">
        <v>2.4800404021839699</v>
      </c>
    </row>
    <row r="4" spans="1:17" x14ac:dyDescent="0.3">
      <c r="A4" s="8">
        <v>-2.4779177699999999</v>
      </c>
      <c r="B4" s="8">
        <v>7.9055011610000001</v>
      </c>
      <c r="C4" s="8">
        <v>5.0330691830000003</v>
      </c>
      <c r="D4" s="8">
        <v>7.0228362549999996</v>
      </c>
      <c r="E4" s="8">
        <v>4.4497813979999998</v>
      </c>
      <c r="F4" s="8">
        <v>5.8624729149999997</v>
      </c>
      <c r="G4" s="8">
        <v>7.1494567529999999</v>
      </c>
      <c r="H4" s="8">
        <v>3.5886436960000001</v>
      </c>
      <c r="I4" s="8">
        <v>3.4351577170000001</v>
      </c>
      <c r="J4" s="8">
        <v>6.690008927</v>
      </c>
      <c r="K4" s="8">
        <v>3.0099306255335101</v>
      </c>
      <c r="P4" s="6" t="s">
        <v>26</v>
      </c>
      <c r="Q4" t="s">
        <v>28</v>
      </c>
    </row>
    <row r="5" spans="1:17" x14ac:dyDescent="0.3">
      <c r="A5" s="8">
        <v>1.3287265130000001</v>
      </c>
      <c r="B5" s="8">
        <v>8.0750391550000007</v>
      </c>
      <c r="C5" s="8">
        <v>5.0697859010000004</v>
      </c>
      <c r="D5" s="8">
        <v>6.8925308730000001</v>
      </c>
      <c r="E5" s="8">
        <v>5.8127224100000001</v>
      </c>
      <c r="F5" s="8">
        <v>6.1361082439999999</v>
      </c>
      <c r="G5" s="8">
        <v>6.9309883250000004</v>
      </c>
      <c r="H5" s="8">
        <v>4.5129263179999999</v>
      </c>
      <c r="I5" s="8">
        <v>4.1776810319999997</v>
      </c>
      <c r="J5" s="8">
        <v>6.9401903740000002</v>
      </c>
      <c r="K5" s="8">
        <v>-3.1824152248919502</v>
      </c>
      <c r="P5" s="7" t="s">
        <v>7</v>
      </c>
      <c r="Q5" s="2">
        <v>-8.0669904000000001E-2</v>
      </c>
    </row>
    <row r="6" spans="1:17" x14ac:dyDescent="0.3">
      <c r="A6" s="8">
        <v>5.2371054E-2</v>
      </c>
      <c r="B6" s="8">
        <v>8.7762237620000008</v>
      </c>
      <c r="C6" s="8">
        <v>5.1742915399999996</v>
      </c>
      <c r="D6" s="8">
        <v>6.2479600079999997</v>
      </c>
      <c r="E6" s="8">
        <v>4.8430869760000004</v>
      </c>
      <c r="F6" s="8">
        <v>6.2688622150000004</v>
      </c>
      <c r="G6" s="8">
        <v>6.3414855709999998</v>
      </c>
      <c r="H6" s="8">
        <v>3.5171141850000001</v>
      </c>
      <c r="I6" s="8">
        <v>4.2228702870000001</v>
      </c>
      <c r="J6" s="8">
        <v>7.4650068559999996</v>
      </c>
      <c r="K6" s="8">
        <v>-0.46650217065878502</v>
      </c>
      <c r="P6" s="7" t="s">
        <v>8</v>
      </c>
      <c r="Q6" s="2">
        <v>5.7498626072000008</v>
      </c>
    </row>
    <row r="7" spans="1:17" x14ac:dyDescent="0.3">
      <c r="A7" s="8">
        <v>3.868844164</v>
      </c>
      <c r="B7" s="8">
        <v>7.9369501360000001</v>
      </c>
      <c r="C7" s="8">
        <v>5.0192876799999997</v>
      </c>
      <c r="D7" s="8">
        <v>5.4577350920000001</v>
      </c>
      <c r="E7" s="8">
        <v>4.4131874209999999</v>
      </c>
      <c r="F7" s="8">
        <v>6.5791100680000003</v>
      </c>
      <c r="G7" s="8">
        <v>6.1185256609999996</v>
      </c>
      <c r="H7" s="8">
        <v>1.3450587409999999</v>
      </c>
      <c r="I7" s="8">
        <v>2.1145577960000002</v>
      </c>
      <c r="J7" s="8">
        <v>7.3592627009999996</v>
      </c>
      <c r="K7" s="8">
        <v>24.212884008500101</v>
      </c>
      <c r="P7" s="7" t="s">
        <v>9</v>
      </c>
      <c r="Q7" s="2">
        <v>4.2172323946999999</v>
      </c>
    </row>
    <row r="8" spans="1:17" x14ac:dyDescent="0.3">
      <c r="A8" s="8">
        <v>1.133573406</v>
      </c>
      <c r="B8" s="8">
        <v>-3.5557219299999998</v>
      </c>
      <c r="C8" s="8">
        <v>-2.0655118300000002</v>
      </c>
      <c r="D8" s="8">
        <v>0.50303182899999999</v>
      </c>
      <c r="E8" s="8">
        <v>-5.4568465799999997</v>
      </c>
      <c r="F8" s="8">
        <v>-9.0483471800000004</v>
      </c>
      <c r="G8" s="8">
        <v>-9.51829474</v>
      </c>
      <c r="H8" s="8">
        <v>-3.86979893</v>
      </c>
      <c r="I8" s="8">
        <v>-6.0500384699999996</v>
      </c>
      <c r="J8" s="8">
        <v>2.8654132090000002</v>
      </c>
      <c r="K8" s="8">
        <v>31.7257416721413</v>
      </c>
      <c r="P8" s="7" t="s">
        <v>10</v>
      </c>
      <c r="Q8" s="2">
        <v>4.9987582273999998</v>
      </c>
    </row>
    <row r="9" spans="1:17" x14ac:dyDescent="0.3">
      <c r="A9" s="8">
        <v>-1.59076248</v>
      </c>
      <c r="B9" s="8">
        <v>3.0898428409999998</v>
      </c>
      <c r="C9" s="8">
        <v>3.7028856280000002</v>
      </c>
      <c r="D9" s="8">
        <v>2.5283510050000002</v>
      </c>
      <c r="E9" s="8">
        <v>3.315349544</v>
      </c>
      <c r="F9" s="8">
        <v>-12.016372499999999</v>
      </c>
      <c r="G9" s="8">
        <v>5.7147331340000003</v>
      </c>
      <c r="H9" s="8">
        <v>9.6907668709999992</v>
      </c>
      <c r="I9" s="8">
        <v>1.5681817650000001</v>
      </c>
      <c r="J9" s="8">
        <v>2.553728526</v>
      </c>
      <c r="K9" s="8">
        <v>5.3631266272160003</v>
      </c>
      <c r="P9" s="7" t="s">
        <v>11</v>
      </c>
      <c r="Q9" s="2">
        <v>4.0892844566999997</v>
      </c>
    </row>
    <row r="10" spans="1:17" x14ac:dyDescent="0.3">
      <c r="A10" s="8">
        <v>-1.62833154</v>
      </c>
      <c r="B10" s="8">
        <v>5.1033688870000002</v>
      </c>
      <c r="C10" s="8">
        <v>5.3074193479999998</v>
      </c>
      <c r="D10" s="8">
        <v>2.7074265259999999</v>
      </c>
      <c r="E10" s="8">
        <v>8.8618218760000005</v>
      </c>
      <c r="F10" s="8">
        <v>4.0374934360000001</v>
      </c>
      <c r="G10" s="8">
        <v>7.5809821279999996</v>
      </c>
      <c r="H10" s="8">
        <v>3.8380767850000002</v>
      </c>
      <c r="I10" s="8">
        <v>2.462769341</v>
      </c>
      <c r="J10" s="8">
        <v>8.1235144679999998</v>
      </c>
      <c r="K10" s="8">
        <v>-20.584244040573001</v>
      </c>
      <c r="P10" s="7" t="s">
        <v>12</v>
      </c>
      <c r="Q10" s="2">
        <v>2.3940521569</v>
      </c>
    </row>
    <row r="11" spans="1:17" x14ac:dyDescent="0.3">
      <c r="A11" s="8">
        <v>1.4070683230000001</v>
      </c>
      <c r="B11" s="8">
        <v>4.9600665890000002</v>
      </c>
      <c r="C11" s="8">
        <v>5.0481057710000004</v>
      </c>
      <c r="D11" s="8">
        <v>3.7456814020000002</v>
      </c>
      <c r="E11" s="8">
        <v>3.5554871540000001</v>
      </c>
      <c r="F11" s="8">
        <v>0.958446625</v>
      </c>
      <c r="G11" s="8">
        <v>5.5458511709999998</v>
      </c>
      <c r="H11" s="8">
        <v>1.075031751</v>
      </c>
      <c r="I11" s="8">
        <v>1.8872572510000001</v>
      </c>
      <c r="J11" s="8">
        <v>5.0464307359999996</v>
      </c>
      <c r="K11" s="8">
        <v>-18.117813376971799</v>
      </c>
      <c r="P11" s="7" t="s">
        <v>13</v>
      </c>
      <c r="Q11" s="2">
        <v>4.8560025198000005</v>
      </c>
    </row>
    <row r="12" spans="1:17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P12" s="7" t="s">
        <v>14</v>
      </c>
      <c r="Q12" s="2">
        <v>3.0610159010000002</v>
      </c>
    </row>
    <row r="13" spans="1:17" x14ac:dyDescent="0.3">
      <c r="A13" t="s">
        <v>7</v>
      </c>
      <c r="B13" s="2">
        <v>-2.5078872200000002</v>
      </c>
      <c r="C13" s="2">
        <v>-0.39238349</v>
      </c>
      <c r="D13" s="2">
        <v>-2.4779177699999999</v>
      </c>
      <c r="E13" s="2">
        <v>1.3287265130000001</v>
      </c>
      <c r="F13" s="2">
        <v>5.2371054E-2</v>
      </c>
      <c r="G13" s="2">
        <v>3.868844164</v>
      </c>
      <c r="H13" s="2">
        <v>1.133573406</v>
      </c>
      <c r="I13" s="2">
        <v>-1.59076248</v>
      </c>
      <c r="J13" s="2">
        <v>-1.62833154</v>
      </c>
      <c r="K13" s="2">
        <v>1.4070683230000001</v>
      </c>
      <c r="P13" s="7" t="s">
        <v>15</v>
      </c>
      <c r="Q13" s="2">
        <v>1.7936952831999999</v>
      </c>
    </row>
    <row r="14" spans="1:17" x14ac:dyDescent="0.3">
      <c r="A14" t="s">
        <v>8</v>
      </c>
      <c r="B14" s="2">
        <v>8.0003207459999999</v>
      </c>
      <c r="C14" s="2">
        <v>7.2070347249999998</v>
      </c>
      <c r="D14" s="2">
        <v>7.9055011610000001</v>
      </c>
      <c r="E14" s="2">
        <v>8.0750391550000007</v>
      </c>
      <c r="F14" s="2">
        <v>8.7762237620000008</v>
      </c>
      <c r="G14" s="2">
        <v>7.9369501360000001</v>
      </c>
      <c r="H14" s="2">
        <v>-3.5557219299999998</v>
      </c>
      <c r="I14" s="2">
        <v>3.0898428409999998</v>
      </c>
      <c r="J14" s="2">
        <v>5.1033688870000002</v>
      </c>
      <c r="K14" s="2">
        <v>4.9600665890000002</v>
      </c>
      <c r="P14" s="7" t="s">
        <v>17</v>
      </c>
      <c r="Q14" s="2">
        <v>2.8913246988175745</v>
      </c>
    </row>
    <row r="15" spans="1:17" x14ac:dyDescent="0.3">
      <c r="A15" t="s">
        <v>9</v>
      </c>
      <c r="B15" s="2">
        <v>5.0066684260000001</v>
      </c>
      <c r="C15" s="2">
        <v>4.8763223</v>
      </c>
      <c r="D15" s="2">
        <v>5.0330691830000003</v>
      </c>
      <c r="E15" s="2">
        <v>5.0697859010000004</v>
      </c>
      <c r="F15" s="2">
        <v>5.1742915399999996</v>
      </c>
      <c r="G15" s="2">
        <v>5.0192876799999997</v>
      </c>
      <c r="H15" s="2">
        <v>-2.0655118300000002</v>
      </c>
      <c r="I15" s="2">
        <v>3.7028856280000002</v>
      </c>
      <c r="J15" s="2">
        <v>5.3074193479999998</v>
      </c>
      <c r="K15" s="2">
        <v>5.0481057710000004</v>
      </c>
      <c r="P15" s="7" t="s">
        <v>16</v>
      </c>
      <c r="Q15" s="2">
        <v>6.0452953224000003</v>
      </c>
    </row>
    <row r="16" spans="1:17" x14ac:dyDescent="0.3">
      <c r="A16" s="1" t="s">
        <v>10</v>
      </c>
      <c r="B16" s="2">
        <v>7.6119634400000002</v>
      </c>
      <c r="C16" s="2">
        <v>7.2700658440000003</v>
      </c>
      <c r="D16" s="2">
        <v>7.0228362549999996</v>
      </c>
      <c r="E16" s="2">
        <v>6.8925308730000001</v>
      </c>
      <c r="F16" s="2">
        <v>6.2479600079999997</v>
      </c>
      <c r="G16" s="2">
        <v>5.4577350920000001</v>
      </c>
      <c r="H16" s="2">
        <v>0.50303182899999999</v>
      </c>
      <c r="I16" s="2">
        <v>2.5283510050000002</v>
      </c>
      <c r="J16" s="2">
        <v>2.7074265259999999</v>
      </c>
      <c r="K16" s="2">
        <v>3.7456814020000002</v>
      </c>
      <c r="P16" s="7" t="s">
        <v>27</v>
      </c>
      <c r="Q16" s="2">
        <v>3.637804878556143</v>
      </c>
    </row>
    <row r="17" spans="1:11" x14ac:dyDescent="0.3">
      <c r="A17" t="s">
        <v>11</v>
      </c>
      <c r="B17" s="2">
        <v>6.0067219459999999</v>
      </c>
      <c r="C17" s="2">
        <v>5.0915324220000002</v>
      </c>
      <c r="D17" s="2">
        <v>4.4497813979999998</v>
      </c>
      <c r="E17" s="2">
        <v>5.8127224100000001</v>
      </c>
      <c r="F17" s="2">
        <v>4.8430869760000004</v>
      </c>
      <c r="G17" s="2">
        <v>4.4131874209999999</v>
      </c>
      <c r="H17" s="2">
        <v>-5.4568465799999997</v>
      </c>
      <c r="I17" s="2">
        <v>3.315349544</v>
      </c>
      <c r="J17" s="2">
        <v>8.8618218760000005</v>
      </c>
      <c r="K17" s="2">
        <v>3.5554871540000001</v>
      </c>
    </row>
    <row r="18" spans="1:11" x14ac:dyDescent="0.3">
      <c r="A18" t="s">
        <v>12</v>
      </c>
      <c r="B18" s="2">
        <v>8.1699074560000007</v>
      </c>
      <c r="C18" s="2">
        <v>6.9928402900000002</v>
      </c>
      <c r="D18" s="2">
        <v>5.8624729149999997</v>
      </c>
      <c r="E18" s="2">
        <v>6.1361082439999999</v>
      </c>
      <c r="F18" s="2">
        <v>6.2688622150000004</v>
      </c>
      <c r="G18" s="2">
        <v>6.5791100680000003</v>
      </c>
      <c r="H18" s="2">
        <v>-9.0483471800000004</v>
      </c>
      <c r="I18" s="2">
        <v>-12.016372499999999</v>
      </c>
      <c r="J18" s="2">
        <v>4.0374934360000001</v>
      </c>
      <c r="K18" s="2">
        <v>0.958446625</v>
      </c>
    </row>
    <row r="19" spans="1:11" x14ac:dyDescent="0.3">
      <c r="A19" t="s">
        <v>13</v>
      </c>
      <c r="B19" s="2">
        <v>6.3479874799999996</v>
      </c>
      <c r="C19" s="2">
        <v>6.3483097150000001</v>
      </c>
      <c r="D19" s="2">
        <v>7.1494567529999999</v>
      </c>
      <c r="E19" s="2">
        <v>6.9309883250000004</v>
      </c>
      <c r="F19" s="2">
        <v>6.3414855709999998</v>
      </c>
      <c r="G19" s="2">
        <v>6.1185256609999996</v>
      </c>
      <c r="H19" s="2">
        <v>-9.51829474</v>
      </c>
      <c r="I19" s="2">
        <v>5.7147331340000003</v>
      </c>
      <c r="J19" s="2">
        <v>7.5809821279999996</v>
      </c>
      <c r="K19" s="2">
        <v>5.5458511709999998</v>
      </c>
    </row>
    <row r="20" spans="1:11" x14ac:dyDescent="0.3">
      <c r="A20" t="s">
        <v>14</v>
      </c>
      <c r="B20" s="2">
        <v>3.9355402769999999</v>
      </c>
      <c r="C20" s="2">
        <v>2.9767993160000001</v>
      </c>
      <c r="D20" s="2">
        <v>3.5886436960000001</v>
      </c>
      <c r="E20" s="2">
        <v>4.5129263179999999</v>
      </c>
      <c r="F20" s="2">
        <v>3.5171141850000001</v>
      </c>
      <c r="G20" s="2">
        <v>1.3450587409999999</v>
      </c>
      <c r="H20" s="2">
        <v>-3.86979893</v>
      </c>
      <c r="I20" s="2">
        <v>9.6907668709999992</v>
      </c>
      <c r="J20" s="2">
        <v>3.8380767850000002</v>
      </c>
      <c r="K20" s="2">
        <v>1.075031751</v>
      </c>
    </row>
    <row r="21" spans="1:11" x14ac:dyDescent="0.3">
      <c r="A21" t="s">
        <v>15</v>
      </c>
      <c r="B21" s="2">
        <v>0.984468864</v>
      </c>
      <c r="C21" s="2">
        <v>3.134047249</v>
      </c>
      <c r="D21" s="2">
        <v>3.4351577170000001</v>
      </c>
      <c r="E21" s="2">
        <v>4.1776810319999997</v>
      </c>
      <c r="F21" s="2">
        <v>4.2228702870000001</v>
      </c>
      <c r="G21" s="2">
        <v>2.1145577960000002</v>
      </c>
      <c r="H21" s="2">
        <v>-6.0500384699999996</v>
      </c>
      <c r="I21" s="2">
        <v>1.5681817650000001</v>
      </c>
      <c r="J21" s="2">
        <v>2.462769341</v>
      </c>
      <c r="K21" s="2">
        <v>1.8872572510000001</v>
      </c>
    </row>
    <row r="22" spans="1:11" x14ac:dyDescent="0.3">
      <c r="A22" t="s">
        <v>16</v>
      </c>
      <c r="B22" s="2">
        <v>6.4222431210000002</v>
      </c>
      <c r="C22" s="2">
        <v>6.9871543059999999</v>
      </c>
      <c r="D22" s="2">
        <v>6.690008927</v>
      </c>
      <c r="E22" s="2">
        <v>6.9401903740000002</v>
      </c>
      <c r="F22" s="2">
        <v>7.4650068559999996</v>
      </c>
      <c r="G22" s="2">
        <v>7.3592627009999996</v>
      </c>
      <c r="H22" s="2">
        <v>2.8654132090000002</v>
      </c>
      <c r="I22" s="2">
        <v>2.553728526</v>
      </c>
      <c r="J22" s="2">
        <v>8.1235144679999998</v>
      </c>
      <c r="K22" s="2">
        <v>5.0464307359999996</v>
      </c>
    </row>
    <row r="23" spans="1:11" x14ac:dyDescent="0.3">
      <c r="A23" t="s">
        <v>17</v>
      </c>
      <c r="B23" s="2">
        <v>4.47249846569638</v>
      </c>
      <c r="C23" s="2">
        <v>2.4800404021839699</v>
      </c>
      <c r="D23" s="2">
        <v>3.0099306255335101</v>
      </c>
      <c r="E23" s="2">
        <v>-3.1824152248919502</v>
      </c>
      <c r="F23" s="2">
        <v>-0.46650217065878502</v>
      </c>
      <c r="G23" s="2">
        <v>24.212884008500101</v>
      </c>
      <c r="H23" s="2">
        <v>31.7257416721413</v>
      </c>
      <c r="I23" s="2">
        <v>5.3631266272160003</v>
      </c>
      <c r="J23" s="2">
        <v>-20.584244040573001</v>
      </c>
      <c r="K23" s="2">
        <v>-18.117813376971799</v>
      </c>
    </row>
    <row r="48" spans="5:8" x14ac:dyDescent="0.3">
      <c r="E48" t="s">
        <v>11</v>
      </c>
      <c r="F48" t="s">
        <v>12</v>
      </c>
      <c r="G48" t="s">
        <v>13</v>
      </c>
      <c r="H48" t="s">
        <v>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3B6E-E2B3-40D3-9C90-DEF2207BC405}">
  <dimension ref="A1:K111"/>
  <sheetViews>
    <sheetView tabSelected="1" zoomScale="68" workbookViewId="0">
      <selection sqref="A1:H1048576"/>
    </sheetView>
  </sheetViews>
  <sheetFormatPr defaultRowHeight="14.4" x14ac:dyDescent="0.3"/>
  <cols>
    <col min="1" max="1" width="10.5546875" bestFit="1" customWidth="1"/>
    <col min="3" max="3" width="12.77734375" bestFit="1" customWidth="1"/>
    <col min="4" max="4" width="12.5546875" bestFit="1" customWidth="1"/>
    <col min="5" max="8" width="12.21875" bestFit="1" customWidth="1"/>
    <col min="10" max="10" width="16" bestFit="1" customWidth="1"/>
    <col min="11" max="11" width="10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K1" s="2"/>
    </row>
    <row r="2" spans="1:11" x14ac:dyDescent="0.3">
      <c r="A2" t="s">
        <v>7</v>
      </c>
      <c r="B2">
        <v>2014</v>
      </c>
      <c r="C2" s="2">
        <v>-2.5078872200000002</v>
      </c>
      <c r="D2" s="2">
        <v>-4.3630674214564351</v>
      </c>
      <c r="E2" s="2">
        <v>0.59333433311053341</v>
      </c>
      <c r="F2" s="2">
        <v>4.7196619616305213</v>
      </c>
      <c r="G2" s="2">
        <v>3.356609014311617</v>
      </c>
      <c r="H2" s="2">
        <v>-1.8460154235559401</v>
      </c>
      <c r="J2" s="5" t="s">
        <v>21</v>
      </c>
      <c r="K2" s="2">
        <f>AVERAGE(D2:D111)</f>
        <v>5.2882036701547586</v>
      </c>
    </row>
    <row r="3" spans="1:11" x14ac:dyDescent="0.3">
      <c r="A3" t="s">
        <v>7</v>
      </c>
      <c r="B3">
        <v>2015</v>
      </c>
      <c r="C3" s="2">
        <v>-0.39238349</v>
      </c>
      <c r="D3" s="2">
        <v>-3.3795363369421239E-2</v>
      </c>
      <c r="E3" s="2">
        <v>-1.1319914126949158</v>
      </c>
      <c r="F3" s="2">
        <v>6.3829891717557672</v>
      </c>
      <c r="G3" s="2">
        <v>1.3247117972472036</v>
      </c>
      <c r="H3" s="2">
        <v>-17.612743241263431</v>
      </c>
      <c r="J3" s="5" t="s">
        <v>22</v>
      </c>
      <c r="K3" s="2">
        <f>AVERAGE(E2:E111)</f>
        <v>3.9784987392167341</v>
      </c>
    </row>
    <row r="4" spans="1:11" ht="28.8" x14ac:dyDescent="0.3">
      <c r="A4" t="s">
        <v>7</v>
      </c>
      <c r="B4">
        <v>2016</v>
      </c>
      <c r="C4" s="2">
        <v>-2.4779177699999999</v>
      </c>
      <c r="D4" s="2">
        <v>-2.9425313678065521</v>
      </c>
      <c r="E4" s="2">
        <v>-1.671276845563753</v>
      </c>
      <c r="F4" s="2">
        <v>-3.5714370138984606</v>
      </c>
      <c r="G4" s="2">
        <v>-1.3205904720093329</v>
      </c>
      <c r="H4" s="2">
        <v>-9.1694951364625865</v>
      </c>
      <c r="J4" s="5" t="s">
        <v>23</v>
      </c>
      <c r="K4" s="2">
        <f>AVERAGE(F2:F111)</f>
        <v>1.4262554182128724</v>
      </c>
    </row>
    <row r="5" spans="1:11" x14ac:dyDescent="0.3">
      <c r="A5" t="s">
        <v>7</v>
      </c>
      <c r="B5">
        <v>2017</v>
      </c>
      <c r="C5" s="2">
        <v>1.3287265130000001</v>
      </c>
      <c r="D5" s="2">
        <v>1.5144675949683801</v>
      </c>
      <c r="E5" s="2">
        <v>1.084382705165325</v>
      </c>
      <c r="F5" s="2">
        <v>-1.5565460176829191</v>
      </c>
      <c r="G5" s="2">
        <v>3.8581882153314719</v>
      </c>
      <c r="H5" s="2">
        <v>4.9552686823228385</v>
      </c>
      <c r="K5" s="2"/>
    </row>
    <row r="6" spans="1:11" x14ac:dyDescent="0.3">
      <c r="A6" t="s">
        <v>7</v>
      </c>
      <c r="B6">
        <v>2018</v>
      </c>
      <c r="C6" s="2">
        <v>5.2371054E-2</v>
      </c>
      <c r="D6" s="2">
        <v>-0.36379885049461791</v>
      </c>
      <c r="E6" s="2">
        <v>0.78184503946674511</v>
      </c>
      <c r="F6" s="2">
        <v>-1.5757692692639722</v>
      </c>
      <c r="G6" s="2">
        <v>3.8048655254767092</v>
      </c>
      <c r="H6" s="2">
        <v>9.2156248153434319</v>
      </c>
      <c r="J6" s="4" t="s">
        <v>19</v>
      </c>
      <c r="K6" s="4" t="s">
        <v>20</v>
      </c>
    </row>
    <row r="7" spans="1:11" x14ac:dyDescent="0.3">
      <c r="A7" t="s">
        <v>7</v>
      </c>
      <c r="B7">
        <v>2019</v>
      </c>
      <c r="C7" s="2">
        <v>3.868844164</v>
      </c>
      <c r="D7" s="2">
        <v>4.1918168256827926</v>
      </c>
      <c r="E7" s="2">
        <v>3.4479601299579201</v>
      </c>
      <c r="F7" s="2">
        <v>-1.4131116827272336</v>
      </c>
      <c r="G7" s="2">
        <v>2.7711800825842823</v>
      </c>
      <c r="H7" s="2">
        <v>-3.3337276483038067</v>
      </c>
      <c r="J7" s="5" t="s">
        <v>24</v>
      </c>
      <c r="K7" s="5">
        <v>-4.4999999999999998E-2</v>
      </c>
    </row>
    <row r="8" spans="1:11" x14ac:dyDescent="0.3">
      <c r="A8" t="s">
        <v>7</v>
      </c>
      <c r="B8">
        <v>2020</v>
      </c>
      <c r="C8" s="2">
        <v>1.133573406</v>
      </c>
      <c r="D8" s="2">
        <v>2.9091489107698294</v>
      </c>
      <c r="E8" s="2">
        <v>-2.0829679218654604</v>
      </c>
      <c r="F8" s="2">
        <v>14.394442232547775</v>
      </c>
      <c r="G8" s="2">
        <v>4.7105756488046602</v>
      </c>
      <c r="H8" s="2">
        <v>-10.863759499400032</v>
      </c>
      <c r="J8" s="5" t="s">
        <v>25</v>
      </c>
      <c r="K8" s="5">
        <v>-2.8000000000000001E-2</v>
      </c>
    </row>
    <row r="9" spans="1:11" ht="28.8" x14ac:dyDescent="0.3">
      <c r="A9" t="s">
        <v>7</v>
      </c>
      <c r="B9">
        <v>2021</v>
      </c>
      <c r="C9" s="2">
        <v>-1.59076248</v>
      </c>
      <c r="D9" s="2">
        <v>-4.166801115822949</v>
      </c>
      <c r="E9" s="2">
        <v>2.4701859812958276</v>
      </c>
      <c r="F9" s="2">
        <v>16.91829830095925</v>
      </c>
      <c r="G9" s="2">
        <v>1.4618172227719282</v>
      </c>
      <c r="H9" s="2">
        <v>15.465928436394492</v>
      </c>
      <c r="J9" s="5" t="s">
        <v>23</v>
      </c>
      <c r="K9" s="5">
        <v>2.7E-2</v>
      </c>
    </row>
    <row r="10" spans="1:11" x14ac:dyDescent="0.3">
      <c r="A10" t="s">
        <v>7</v>
      </c>
      <c r="B10">
        <v>2022</v>
      </c>
      <c r="C10" s="2">
        <v>-1.62833154</v>
      </c>
      <c r="D10" s="2">
        <v>-4.9070997859401899</v>
      </c>
      <c r="E10" s="2">
        <v>3.769779936245385</v>
      </c>
      <c r="F10" s="2">
        <v>-3.3105524525653749</v>
      </c>
      <c r="G10" s="2">
        <v>-1.7529337088212229</v>
      </c>
      <c r="H10" s="2">
        <v>24.23672668028756</v>
      </c>
      <c r="J10" s="5" t="s">
        <v>21</v>
      </c>
      <c r="K10" s="5">
        <v>0.249</v>
      </c>
    </row>
    <row r="11" spans="1:11" x14ac:dyDescent="0.3">
      <c r="A11" t="s">
        <v>7</v>
      </c>
      <c r="B11">
        <v>2023</v>
      </c>
      <c r="C11" s="2">
        <v>1.4070683230000001</v>
      </c>
      <c r="D11" s="2">
        <v>-1.4297650334421377</v>
      </c>
      <c r="E11" s="2">
        <v>5.912364093838903</v>
      </c>
      <c r="F11" s="2">
        <v>-9.0223219374480124</v>
      </c>
      <c r="G11" s="2">
        <v>-0.33706803706166977</v>
      </c>
      <c r="H11" s="2">
        <v>-12.896195628732443</v>
      </c>
      <c r="J11" s="5" t="s">
        <v>22</v>
      </c>
      <c r="K11" s="5">
        <v>0.59299999999999997</v>
      </c>
    </row>
    <row r="12" spans="1:11" x14ac:dyDescent="0.3">
      <c r="A12" t="s">
        <v>8</v>
      </c>
      <c r="B12">
        <v>2014</v>
      </c>
      <c r="C12" s="2">
        <v>8.0003207459999999</v>
      </c>
      <c r="D12" s="2">
        <v>11.151750910286438</v>
      </c>
      <c r="E12" s="2">
        <v>9.8073370864619278</v>
      </c>
      <c r="F12" s="2">
        <v>0.58674123378494869</v>
      </c>
      <c r="G12" s="2">
        <v>8.4090202030066035</v>
      </c>
      <c r="H12" s="2">
        <v>3.2993691205076345</v>
      </c>
    </row>
    <row r="13" spans="1:11" x14ac:dyDescent="0.3">
      <c r="A13" t="s">
        <v>8</v>
      </c>
      <c r="B13">
        <v>2015</v>
      </c>
      <c r="C13" s="2">
        <v>7.2070347249999998</v>
      </c>
      <c r="D13" s="2">
        <v>12.573055632750936</v>
      </c>
      <c r="E13" s="2">
        <v>6.9051985137206628</v>
      </c>
      <c r="F13" s="2">
        <v>0.19176982033633294</v>
      </c>
      <c r="G13" s="2">
        <v>7.5402966200198804</v>
      </c>
      <c r="H13" s="2">
        <v>3.0693593414164297</v>
      </c>
    </row>
    <row r="14" spans="1:11" x14ac:dyDescent="0.3">
      <c r="A14" t="s">
        <v>8</v>
      </c>
      <c r="B14">
        <v>2016</v>
      </c>
      <c r="C14" s="2">
        <v>7.9055011610000001</v>
      </c>
      <c r="D14" s="2">
        <v>13.688214990116037</v>
      </c>
      <c r="E14" s="2">
        <v>6.7933905781899</v>
      </c>
      <c r="F14" s="2">
        <v>1.32253716718634</v>
      </c>
      <c r="G14" s="2">
        <v>9.3231850730576777</v>
      </c>
      <c r="H14" s="2">
        <v>1.5800748057582865</v>
      </c>
    </row>
    <row r="15" spans="1:11" x14ac:dyDescent="0.3">
      <c r="A15" t="s">
        <v>8</v>
      </c>
      <c r="B15">
        <v>2017</v>
      </c>
      <c r="C15" s="2">
        <v>8.0750391550000007</v>
      </c>
      <c r="D15" s="2">
        <v>13.058364958316787</v>
      </c>
      <c r="E15" s="2">
        <v>6.9788573901911235</v>
      </c>
      <c r="F15" s="2">
        <v>1.6760264798822817</v>
      </c>
      <c r="G15" s="2">
        <v>9.4976020309874656</v>
      </c>
      <c r="H15" s="2">
        <v>2.0765070915485211</v>
      </c>
    </row>
    <row r="16" spans="1:11" x14ac:dyDescent="0.3">
      <c r="A16" t="s">
        <v>8</v>
      </c>
      <c r="B16">
        <v>2018</v>
      </c>
      <c r="C16" s="2">
        <v>8.7762237620000008</v>
      </c>
      <c r="D16" s="2">
        <v>14.797430898641494</v>
      </c>
      <c r="E16" s="2">
        <v>7.1149615149931407</v>
      </c>
      <c r="F16" s="2">
        <v>1.1037712227059302</v>
      </c>
      <c r="G16" s="2">
        <v>9.6924030002711525</v>
      </c>
      <c r="H16" s="2">
        <v>3.8165809450680683</v>
      </c>
    </row>
    <row r="17" spans="1:8" x14ac:dyDescent="0.3">
      <c r="A17" t="s">
        <v>8</v>
      </c>
      <c r="B17">
        <v>2019</v>
      </c>
      <c r="C17" s="2">
        <v>7.9369501360000001</v>
      </c>
      <c r="D17" s="2">
        <v>13.039302557760848</v>
      </c>
      <c r="E17" s="2">
        <v>6.556641282307794</v>
      </c>
      <c r="F17" s="2">
        <v>-0.35710175859749427</v>
      </c>
      <c r="G17" s="2">
        <v>9.9850004420280793</v>
      </c>
      <c r="H17" s="2">
        <v>2.7925574107017184</v>
      </c>
    </row>
    <row r="18" spans="1:8" x14ac:dyDescent="0.3">
      <c r="A18" t="s">
        <v>8</v>
      </c>
      <c r="B18">
        <v>2020</v>
      </c>
      <c r="C18" s="2">
        <v>-3.5557219299999998</v>
      </c>
      <c r="D18" s="2">
        <v>-2.2081619418848959</v>
      </c>
      <c r="E18" s="2">
        <v>-6.6822873748034226</v>
      </c>
      <c r="F18" s="2">
        <v>0.59328403172402489</v>
      </c>
      <c r="G18" s="2">
        <v>10.41023980932601</v>
      </c>
      <c r="H18" s="2">
        <v>-0.82428140283251139</v>
      </c>
    </row>
    <row r="19" spans="1:8" x14ac:dyDescent="0.3">
      <c r="A19" t="s">
        <v>8</v>
      </c>
      <c r="B19">
        <v>2021</v>
      </c>
      <c r="C19" s="2">
        <v>3.0898428409999998</v>
      </c>
      <c r="D19" s="2">
        <v>8.408386448253637</v>
      </c>
      <c r="E19" s="2">
        <v>-1.8294609757719371</v>
      </c>
      <c r="F19" s="2">
        <v>1.5385018068948568</v>
      </c>
      <c r="G19" s="2">
        <v>9.4684591111041012</v>
      </c>
      <c r="H19" s="2">
        <v>2.6457340350188474</v>
      </c>
    </row>
    <row r="20" spans="1:8" x14ac:dyDescent="0.3">
      <c r="A20" t="s">
        <v>8</v>
      </c>
      <c r="B20">
        <v>2022</v>
      </c>
      <c r="C20" s="2">
        <v>5.1033688870000002</v>
      </c>
      <c r="D20" s="2">
        <v>8.166600791377121</v>
      </c>
      <c r="E20" s="2">
        <v>3.5974536969155793</v>
      </c>
      <c r="F20" s="2">
        <v>0.59932537516635875</v>
      </c>
      <c r="G20" s="2">
        <v>8.948301257795368</v>
      </c>
      <c r="H20" s="2">
        <v>3.5150248314330241</v>
      </c>
    </row>
    <row r="21" spans="1:8" x14ac:dyDescent="0.3">
      <c r="A21" t="s">
        <v>8</v>
      </c>
      <c r="B21">
        <v>2023</v>
      </c>
      <c r="C21" s="2">
        <v>4.9600665890000002</v>
      </c>
      <c r="D21" s="2">
        <v>5.3090026202704337</v>
      </c>
      <c r="E21" s="2">
        <v>5.9793766099056995</v>
      </c>
      <c r="F21" s="2">
        <v>1.0983459201399768</v>
      </c>
      <c r="G21" s="2">
        <v>9.3509670198975776</v>
      </c>
      <c r="H21" s="2">
        <v>1.0630960724275837</v>
      </c>
    </row>
    <row r="22" spans="1:8" x14ac:dyDescent="0.3">
      <c r="A22" t="s">
        <v>9</v>
      </c>
      <c r="B22">
        <v>2014</v>
      </c>
      <c r="C22" s="2">
        <v>5.0066684260000001</v>
      </c>
      <c r="D22" s="2">
        <v>4.2322114876393755</v>
      </c>
      <c r="E22" s="2">
        <v>6.017141862195146</v>
      </c>
      <c r="F22" s="2">
        <v>4.2386786291508542</v>
      </c>
      <c r="G22" s="2">
        <v>2.8199726041923228</v>
      </c>
      <c r="H22" s="2">
        <v>5.4431745493561152</v>
      </c>
    </row>
    <row r="23" spans="1:8" x14ac:dyDescent="0.3">
      <c r="A23" t="s">
        <v>9</v>
      </c>
      <c r="B23">
        <v>2015</v>
      </c>
      <c r="C23" s="2">
        <v>4.8763223</v>
      </c>
      <c r="D23" s="2">
        <v>2.9918310629880125</v>
      </c>
      <c r="E23" s="2">
        <v>5.4518805345383754</v>
      </c>
      <c r="F23" s="2">
        <v>3.754749446150754</v>
      </c>
      <c r="G23" s="2">
        <v>2.2976163937203249</v>
      </c>
      <c r="H23" s="2">
        <v>3.9802426601396093</v>
      </c>
    </row>
    <row r="24" spans="1:8" x14ac:dyDescent="0.3">
      <c r="A24" t="s">
        <v>9</v>
      </c>
      <c r="B24">
        <v>2016</v>
      </c>
      <c r="C24" s="2">
        <v>5.0330691830000003</v>
      </c>
      <c r="D24" s="2">
        <v>3.8244822608364473</v>
      </c>
      <c r="E24" s="2">
        <v>5.6644330185689142</v>
      </c>
      <c r="F24" s="2">
        <v>3.3727296644880909</v>
      </c>
      <c r="G24" s="2">
        <v>0.48737247137070988</v>
      </c>
      <c r="H24" s="2">
        <v>2.4389240868820679</v>
      </c>
    </row>
    <row r="25" spans="1:8" x14ac:dyDescent="0.3">
      <c r="A25" t="s">
        <v>9</v>
      </c>
      <c r="B25">
        <v>2017</v>
      </c>
      <c r="C25" s="2">
        <v>5.0697859010000004</v>
      </c>
      <c r="D25" s="2">
        <v>4.0911314573353508</v>
      </c>
      <c r="E25" s="2">
        <v>5.6537808563192726</v>
      </c>
      <c r="F25" s="2">
        <v>3.9159325012355879</v>
      </c>
      <c r="G25" s="2">
        <v>2.0194891981092153</v>
      </c>
      <c r="H25" s="2">
        <v>4.2926781219952517</v>
      </c>
    </row>
    <row r="26" spans="1:8" x14ac:dyDescent="0.3">
      <c r="A26" t="s">
        <v>9</v>
      </c>
      <c r="B26">
        <v>2018</v>
      </c>
      <c r="C26" s="2">
        <v>5.1742915399999996</v>
      </c>
      <c r="D26" s="2">
        <v>4.3432633121690571</v>
      </c>
      <c r="E26" s="2">
        <v>5.8213432337807376</v>
      </c>
      <c r="F26" s="2">
        <v>3.8841579664960193</v>
      </c>
      <c r="G26" s="2">
        <v>1.8142897935555822</v>
      </c>
      <c r="H26" s="2">
        <v>3.8183235694333462</v>
      </c>
    </row>
    <row r="27" spans="1:8" x14ac:dyDescent="0.3">
      <c r="A27" t="s">
        <v>9</v>
      </c>
      <c r="B27">
        <v>2019</v>
      </c>
      <c r="C27" s="2">
        <v>5.0192876799999997</v>
      </c>
      <c r="D27" s="2">
        <v>3.809958371917304</v>
      </c>
      <c r="E27" s="2">
        <v>6.3918052296694157</v>
      </c>
      <c r="F27" s="2">
        <v>3.6065015723811626</v>
      </c>
      <c r="G27" s="2">
        <v>2.233362042751375</v>
      </c>
      <c r="H27" s="2">
        <v>1.5984884998414373</v>
      </c>
    </row>
    <row r="28" spans="1:8" x14ac:dyDescent="0.3">
      <c r="A28" t="s">
        <v>9</v>
      </c>
      <c r="B28">
        <v>2020</v>
      </c>
      <c r="C28" s="2">
        <v>-2.0655118300000002</v>
      </c>
      <c r="D28" s="2">
        <v>-2.8001359822063563</v>
      </c>
      <c r="E28" s="2">
        <v>-1.4535690821674336</v>
      </c>
      <c r="F28" s="2">
        <v>1.7719887734715769</v>
      </c>
      <c r="G28" s="2">
        <v>1.8105840202489156</v>
      </c>
      <c r="H28" s="2">
        <v>-0.40165143521899438</v>
      </c>
    </row>
    <row r="29" spans="1:8" x14ac:dyDescent="0.3">
      <c r="A29" t="s">
        <v>9</v>
      </c>
      <c r="B29">
        <v>2021</v>
      </c>
      <c r="C29" s="2">
        <v>3.7028856280000002</v>
      </c>
      <c r="D29" s="2">
        <v>3.4171580761277909</v>
      </c>
      <c r="E29" s="2">
        <v>3.5447614282341817</v>
      </c>
      <c r="F29" s="2">
        <v>1.8711564555079008</v>
      </c>
      <c r="G29" s="2">
        <v>1.7878556314791509</v>
      </c>
      <c r="H29" s="2">
        <v>6.0039732213620738</v>
      </c>
    </row>
    <row r="30" spans="1:8" x14ac:dyDescent="0.3">
      <c r="A30" t="s">
        <v>9</v>
      </c>
      <c r="B30">
        <v>2022</v>
      </c>
      <c r="C30" s="2">
        <v>5.3074193479999998</v>
      </c>
      <c r="D30" s="2">
        <v>4.1056413550647903</v>
      </c>
      <c r="E30" s="2">
        <v>6.4540906912683909</v>
      </c>
      <c r="F30" s="2">
        <v>2.2548429846682438</v>
      </c>
      <c r="G30" s="2">
        <v>1.8726763810112272</v>
      </c>
      <c r="H30" s="2">
        <v>9.566686845253372</v>
      </c>
    </row>
    <row r="31" spans="1:8" x14ac:dyDescent="0.3">
      <c r="A31" t="s">
        <v>9</v>
      </c>
      <c r="B31">
        <v>2023</v>
      </c>
      <c r="C31" s="2">
        <v>5.0481057710000004</v>
      </c>
      <c r="D31" s="2">
        <v>4.9976787205650197</v>
      </c>
      <c r="E31" s="2">
        <v>6.1264316363052842</v>
      </c>
      <c r="F31" s="2">
        <v>1.3047085872009774</v>
      </c>
      <c r="G31" s="2">
        <v>1.6107336016040377</v>
      </c>
      <c r="H31" s="2">
        <v>1.5330736733458963</v>
      </c>
    </row>
    <row r="32" spans="1:8" x14ac:dyDescent="0.3">
      <c r="A32" s="1" t="s">
        <v>10</v>
      </c>
      <c r="B32">
        <v>2014</v>
      </c>
      <c r="C32" s="2">
        <v>7.6119634400000002</v>
      </c>
      <c r="D32" s="2">
        <v>7.3097158891616942</v>
      </c>
      <c r="E32" s="2">
        <v>8.1119901966237364</v>
      </c>
      <c r="F32" s="2">
        <v>4.1498040727179273</v>
      </c>
      <c r="G32" s="2">
        <v>6.5338508612015858</v>
      </c>
      <c r="H32" s="2">
        <v>5.7265591817456425</v>
      </c>
    </row>
    <row r="33" spans="1:8" x14ac:dyDescent="0.3">
      <c r="A33" s="1" t="s">
        <v>10</v>
      </c>
      <c r="B33">
        <v>2015</v>
      </c>
      <c r="C33" s="2">
        <v>7.2700658440000003</v>
      </c>
      <c r="D33" s="2">
        <v>7.0111786624828483</v>
      </c>
      <c r="E33" s="2">
        <v>8.0161173212713379</v>
      </c>
      <c r="F33" s="2">
        <v>3.5650403996792619</v>
      </c>
      <c r="G33" s="2">
        <v>7.4707577729273051</v>
      </c>
      <c r="H33" s="2">
        <v>2.3484960068591789</v>
      </c>
    </row>
    <row r="34" spans="1:8" x14ac:dyDescent="0.3">
      <c r="A34" s="1" t="s">
        <v>10</v>
      </c>
      <c r="B34">
        <v>2016</v>
      </c>
      <c r="C34" s="2">
        <v>7.0228362549999996</v>
      </c>
      <c r="D34" s="2">
        <v>11.997922966492553</v>
      </c>
      <c r="E34" s="2">
        <v>4.6511074065253695</v>
      </c>
      <c r="F34" s="2">
        <v>2.7574295753677518</v>
      </c>
      <c r="G34" s="2">
        <v>5.8777443615571574</v>
      </c>
      <c r="H34" s="2">
        <v>3.0223064425633765</v>
      </c>
    </row>
    <row r="35" spans="1:8" x14ac:dyDescent="0.3">
      <c r="A35" s="1" t="s">
        <v>10</v>
      </c>
      <c r="B35">
        <v>2017</v>
      </c>
      <c r="C35" s="2">
        <v>6.8925308730000001</v>
      </c>
      <c r="D35" s="2">
        <v>11.607167207570839</v>
      </c>
      <c r="E35" s="2">
        <v>4.5126641330814863</v>
      </c>
      <c r="F35" s="2">
        <v>2.8746957227309622</v>
      </c>
      <c r="G35" s="2">
        <v>9.917786835071734</v>
      </c>
      <c r="H35" s="2">
        <v>1.8520967612112287</v>
      </c>
    </row>
    <row r="36" spans="1:8" x14ac:dyDescent="0.3">
      <c r="A36" s="1" t="s">
        <v>10</v>
      </c>
      <c r="B36">
        <v>2018</v>
      </c>
      <c r="C36" s="2">
        <v>6.2479600079999997</v>
      </c>
      <c r="D36" s="2">
        <v>7.8097891161449553</v>
      </c>
      <c r="E36" s="2">
        <v>6.7891825980925802</v>
      </c>
      <c r="F36" s="2">
        <v>1.2676056338028161</v>
      </c>
      <c r="G36" s="2">
        <v>7.4856486219065985</v>
      </c>
      <c r="H36" s="2">
        <v>1.9198891939175411</v>
      </c>
    </row>
    <row r="37" spans="1:8" x14ac:dyDescent="0.3">
      <c r="A37" s="1" t="s">
        <v>10</v>
      </c>
      <c r="B37">
        <v>2019</v>
      </c>
      <c r="C37" s="2">
        <v>5.4577350920000001</v>
      </c>
      <c r="D37" s="2">
        <v>5.6030281738026702</v>
      </c>
      <c r="E37" s="2">
        <v>6.861185873909136</v>
      </c>
      <c r="F37" s="2">
        <v>1.2183588317107024</v>
      </c>
      <c r="G37" s="2">
        <v>4.0314913923107065</v>
      </c>
      <c r="H37" s="2">
        <v>1.1974239210929198</v>
      </c>
    </row>
    <row r="38" spans="1:8" x14ac:dyDescent="0.3">
      <c r="A38" s="1" t="s">
        <v>10</v>
      </c>
      <c r="B38">
        <v>2020</v>
      </c>
      <c r="C38" s="2">
        <v>0.50303182899999999</v>
      </c>
      <c r="D38" s="2">
        <v>3.9625918589427158</v>
      </c>
      <c r="E38" s="2">
        <v>-3.5146896143792077</v>
      </c>
      <c r="F38" s="2">
        <v>3.2177365560074804</v>
      </c>
      <c r="G38" s="2">
        <v>5.0980719349108661</v>
      </c>
      <c r="H38" s="2">
        <v>5.0345041254451672</v>
      </c>
    </row>
    <row r="39" spans="1:8" x14ac:dyDescent="0.3">
      <c r="A39" s="1" t="s">
        <v>10</v>
      </c>
      <c r="B39">
        <v>2021</v>
      </c>
      <c r="C39" s="2">
        <v>2.5283510050000002</v>
      </c>
      <c r="D39" s="2">
        <v>7.6058896410072094</v>
      </c>
      <c r="E39" s="2">
        <v>-2.0920197088779133</v>
      </c>
      <c r="F39" s="2">
        <v>2.289259561066757</v>
      </c>
      <c r="G39" s="2">
        <v>5.6934469595732882</v>
      </c>
      <c r="H39" s="2">
        <v>3.7134483668755252</v>
      </c>
    </row>
    <row r="40" spans="1:8" x14ac:dyDescent="0.3">
      <c r="A40" s="1" t="s">
        <v>10</v>
      </c>
      <c r="B40">
        <v>2022</v>
      </c>
      <c r="C40" s="2">
        <v>2.7074265259999999</v>
      </c>
      <c r="D40" s="2">
        <v>3.3355535238842577</v>
      </c>
      <c r="E40" s="2">
        <v>2.4578399270518219</v>
      </c>
      <c r="F40" s="2">
        <v>1.6463863603886466</v>
      </c>
      <c r="G40" s="2">
        <v>4.6950922578970777</v>
      </c>
      <c r="H40" s="2">
        <v>15.773945922601101</v>
      </c>
    </row>
    <row r="41" spans="1:8" x14ac:dyDescent="0.3">
      <c r="A41" s="1" t="s">
        <v>10</v>
      </c>
      <c r="B41">
        <v>2023</v>
      </c>
      <c r="C41" s="2">
        <v>3.7456814020000002</v>
      </c>
      <c r="D41" s="2">
        <v>2.6087292471825236</v>
      </c>
      <c r="E41" s="2">
        <v>5.4780368753425392</v>
      </c>
      <c r="F41" s="2">
        <v>2.3813055756414627</v>
      </c>
      <c r="G41" s="2">
        <v>11.242563095940834</v>
      </c>
      <c r="H41" s="2">
        <v>24.421720206669235</v>
      </c>
    </row>
    <row r="42" spans="1:8" x14ac:dyDescent="0.3">
      <c r="A42" t="s">
        <v>11</v>
      </c>
      <c r="B42">
        <v>2014</v>
      </c>
      <c r="C42" s="2">
        <v>6.0067219459999999</v>
      </c>
      <c r="D42" s="2">
        <v>5.8743092061200883</v>
      </c>
      <c r="E42" s="2">
        <v>6.7679331901099715</v>
      </c>
      <c r="F42" s="2">
        <v>2.047575647736096</v>
      </c>
      <c r="G42" s="2">
        <v>3.1412294036534822</v>
      </c>
      <c r="H42" s="2">
        <v>2.4674667836637809</v>
      </c>
    </row>
    <row r="43" spans="1:8" x14ac:dyDescent="0.3">
      <c r="A43" t="s">
        <v>11</v>
      </c>
      <c r="B43">
        <v>2015</v>
      </c>
      <c r="C43" s="2">
        <v>5.0915324220000002</v>
      </c>
      <c r="D43" s="2">
        <v>5.2335134465544257</v>
      </c>
      <c r="E43" s="2">
        <v>5.3358190056524535</v>
      </c>
      <c r="F43" s="2">
        <v>1.4487146668141264</v>
      </c>
      <c r="G43" s="2">
        <v>3.2709440293173451</v>
      </c>
      <c r="H43" s="2">
        <v>1.2180557335533848</v>
      </c>
    </row>
    <row r="44" spans="1:8" x14ac:dyDescent="0.3">
      <c r="A44" t="s">
        <v>11</v>
      </c>
      <c r="B44">
        <v>2016</v>
      </c>
      <c r="C44" s="2">
        <v>4.4497813979999998</v>
      </c>
      <c r="D44" s="2">
        <v>4.3438004110224711</v>
      </c>
      <c r="E44" s="2">
        <v>5.7134082793454155</v>
      </c>
      <c r="F44" s="2">
        <v>-3.6518725842996105</v>
      </c>
      <c r="G44" s="2">
        <v>4.4713095859865124</v>
      </c>
      <c r="H44" s="2">
        <v>1.65825996642414</v>
      </c>
    </row>
    <row r="45" spans="1:8" x14ac:dyDescent="0.3">
      <c r="A45" t="s">
        <v>11</v>
      </c>
      <c r="B45">
        <v>2017</v>
      </c>
      <c r="C45" s="2">
        <v>5.8127224100000001</v>
      </c>
      <c r="D45" s="2">
        <v>4.6661598053313611</v>
      </c>
      <c r="E45" s="2">
        <v>6.4612531870509144</v>
      </c>
      <c r="F45" s="2">
        <v>5.8865467082371197</v>
      </c>
      <c r="G45" s="2">
        <v>2.9358203805856053</v>
      </c>
      <c r="H45" s="2">
        <v>3.7789609430645328</v>
      </c>
    </row>
    <row r="46" spans="1:8" x14ac:dyDescent="0.3">
      <c r="A46" t="s">
        <v>11</v>
      </c>
      <c r="B46">
        <v>2018</v>
      </c>
      <c r="C46" s="2">
        <v>4.8430869760000004</v>
      </c>
      <c r="D46" s="2">
        <v>3.3351543846869873</v>
      </c>
      <c r="E46" s="2">
        <v>6.955080381558389</v>
      </c>
      <c r="F46" s="2">
        <v>0.12863158106301853</v>
      </c>
      <c r="G46" s="2">
        <v>2.3145872121973436</v>
      </c>
      <c r="H46" s="2">
        <v>0.62467467458664316</v>
      </c>
    </row>
    <row r="47" spans="1:8" x14ac:dyDescent="0.3">
      <c r="A47" t="s">
        <v>11</v>
      </c>
      <c r="B47">
        <v>2019</v>
      </c>
      <c r="C47" s="2">
        <v>4.4131874209999999</v>
      </c>
      <c r="D47" s="2">
        <v>2.5938755010250532</v>
      </c>
      <c r="E47" s="2">
        <v>6.1568880770598327</v>
      </c>
      <c r="F47" s="2">
        <v>1.9430532834188199</v>
      </c>
      <c r="G47" s="2">
        <v>2.5069770574804409</v>
      </c>
      <c r="H47" s="2">
        <v>7.1826909312136422E-2</v>
      </c>
    </row>
    <row r="48" spans="1:8" x14ac:dyDescent="0.3">
      <c r="A48" t="s">
        <v>11</v>
      </c>
      <c r="B48">
        <v>2020</v>
      </c>
      <c r="C48" s="2">
        <v>-5.4568465799999997</v>
      </c>
      <c r="D48" s="2">
        <v>-6.0879854947991134</v>
      </c>
      <c r="E48" s="2">
        <v>-5.434107083276345</v>
      </c>
      <c r="F48" s="2">
        <v>-2.4258415130005062</v>
      </c>
      <c r="G48" s="2">
        <v>1.2027546425582092</v>
      </c>
      <c r="H48" s="2">
        <v>-0.818007729183023</v>
      </c>
    </row>
    <row r="49" spans="1:8" x14ac:dyDescent="0.3">
      <c r="A49" t="s">
        <v>11</v>
      </c>
      <c r="B49">
        <v>2021</v>
      </c>
      <c r="C49" s="2">
        <v>3.315349544</v>
      </c>
      <c r="D49" s="2">
        <v>5.7412415760935858</v>
      </c>
      <c r="E49" s="2">
        <v>2.2105237753611533</v>
      </c>
      <c r="F49" s="2">
        <v>-0.26815425440676677</v>
      </c>
      <c r="G49" s="2">
        <v>5.4162598491469192</v>
      </c>
      <c r="H49" s="2">
        <v>5.6759384876411616</v>
      </c>
    </row>
    <row r="50" spans="1:8" x14ac:dyDescent="0.3">
      <c r="A50" t="s">
        <v>11</v>
      </c>
      <c r="B50">
        <v>2022</v>
      </c>
      <c r="C50" s="2">
        <v>8.8618218760000005</v>
      </c>
      <c r="D50" s="2">
        <v>6.6512394821303502</v>
      </c>
      <c r="E50" s="2">
        <v>11.409937031311273</v>
      </c>
      <c r="F50" s="2">
        <v>1.253686203208531</v>
      </c>
      <c r="G50" s="2">
        <v>3.6868933626923797</v>
      </c>
      <c r="H50" s="2">
        <v>6.4034851182009618</v>
      </c>
    </row>
    <row r="51" spans="1:8" x14ac:dyDescent="0.3">
      <c r="A51" t="s">
        <v>11</v>
      </c>
      <c r="B51">
        <v>2023</v>
      </c>
      <c r="C51" s="2">
        <v>3.5554871540000001</v>
      </c>
      <c r="D51" s="2">
        <v>1.3278769518903175</v>
      </c>
      <c r="E51" s="2">
        <v>5.2386474793401021</v>
      </c>
      <c r="F51" s="2">
        <v>0.72890524358729181</v>
      </c>
      <c r="G51" s="2">
        <v>1.9811104929511123</v>
      </c>
      <c r="H51" s="2">
        <v>-1.8722556253783722</v>
      </c>
    </row>
    <row r="52" spans="1:8" x14ac:dyDescent="0.3">
      <c r="A52" t="s">
        <v>12</v>
      </c>
      <c r="B52">
        <v>2014</v>
      </c>
      <c r="C52" s="2">
        <v>8.1699074560000007</v>
      </c>
      <c r="D52" s="2">
        <v>0.31107976188214082</v>
      </c>
      <c r="E52" s="2">
        <v>14.625358478887108</v>
      </c>
      <c r="F52" s="2">
        <v>9.3441121818833608</v>
      </c>
      <c r="G52" s="2">
        <v>3.3190442140734855</v>
      </c>
      <c r="H52" s="2">
        <v>3.910225192706335</v>
      </c>
    </row>
    <row r="53" spans="1:8" x14ac:dyDescent="0.3">
      <c r="A53" t="s">
        <v>12</v>
      </c>
      <c r="B53">
        <v>2015</v>
      </c>
      <c r="C53" s="2">
        <v>6.9928402900000002</v>
      </c>
      <c r="D53" s="2">
        <v>8.3246671159577232</v>
      </c>
      <c r="E53" s="2">
        <v>8.6631290887324184</v>
      </c>
      <c r="F53" s="2">
        <v>3.4080435929349591</v>
      </c>
      <c r="G53" s="2">
        <v>6.8512409871117921</v>
      </c>
      <c r="H53" s="2">
        <v>4.136696739083277</v>
      </c>
    </row>
    <row r="54" spans="1:8" x14ac:dyDescent="0.3">
      <c r="A54" t="s">
        <v>12</v>
      </c>
      <c r="B54">
        <v>2016</v>
      </c>
      <c r="C54" s="2">
        <v>5.8624729149999997</v>
      </c>
      <c r="D54" s="2">
        <v>21.777837983113784</v>
      </c>
      <c r="E54" s="2">
        <v>2.8879906373430657</v>
      </c>
      <c r="F54" s="2">
        <v>-6.4603902302189908</v>
      </c>
      <c r="G54" s="2">
        <v>5.1788013251746579</v>
      </c>
      <c r="H54" s="2">
        <v>3.615678095362739</v>
      </c>
    </row>
    <row r="55" spans="1:8" x14ac:dyDescent="0.3">
      <c r="A55" t="s">
        <v>12</v>
      </c>
      <c r="B55">
        <v>2017</v>
      </c>
      <c r="C55" s="2">
        <v>6.1361082439999999</v>
      </c>
      <c r="D55" s="2">
        <v>9.6731210871748203</v>
      </c>
      <c r="E55" s="2">
        <v>7.8224864223773096</v>
      </c>
      <c r="F55" s="2">
        <v>-1.2940453571297894</v>
      </c>
      <c r="G55" s="2">
        <v>7.2733555521281605</v>
      </c>
      <c r="H55" s="2">
        <v>5.8734089465466042</v>
      </c>
    </row>
    <row r="56" spans="1:8" x14ac:dyDescent="0.3">
      <c r="A56" t="s">
        <v>12</v>
      </c>
      <c r="B56">
        <v>2018</v>
      </c>
      <c r="C56" s="2">
        <v>6.2688622150000004</v>
      </c>
      <c r="D56" s="2">
        <v>5.9180973103496228</v>
      </c>
      <c r="E56" s="2">
        <v>8.6723094524076032</v>
      </c>
      <c r="F56" s="2">
        <v>2.6866858228321604</v>
      </c>
      <c r="G56" s="2">
        <v>2.6056322985110625</v>
      </c>
      <c r="H56" s="2">
        <v>5.3410946399101107</v>
      </c>
    </row>
    <row r="57" spans="1:8" x14ac:dyDescent="0.3">
      <c r="A57" t="s">
        <v>12</v>
      </c>
      <c r="B57">
        <v>2019</v>
      </c>
      <c r="C57" s="2">
        <v>6.5791100680000003</v>
      </c>
      <c r="D57" s="2">
        <v>7.9588674292936616</v>
      </c>
      <c r="E57" s="2">
        <v>7.8085154315010357</v>
      </c>
      <c r="F57" s="2">
        <v>2.212655268518489</v>
      </c>
      <c r="G57" s="2">
        <v>2.3121121119436379</v>
      </c>
      <c r="H57" s="2">
        <v>5.4229330046849498</v>
      </c>
    </row>
    <row r="58" spans="1:8" x14ac:dyDescent="0.3">
      <c r="A58" t="s">
        <v>12</v>
      </c>
      <c r="B58">
        <v>2020</v>
      </c>
      <c r="C58" s="2">
        <v>-9.0483471800000004</v>
      </c>
      <c r="D58" s="2">
        <v>-11.789270282901938</v>
      </c>
      <c r="E58" s="2">
        <v>-8.4354447542345383</v>
      </c>
      <c r="F58" s="2">
        <v>-5.7248010285026965</v>
      </c>
      <c r="G58" s="2">
        <v>2.0185919999999999</v>
      </c>
      <c r="H58" s="2">
        <v>5.3441100080658543</v>
      </c>
    </row>
    <row r="59" spans="1:8" x14ac:dyDescent="0.3">
      <c r="A59" t="s">
        <v>12</v>
      </c>
      <c r="B59">
        <v>2021</v>
      </c>
      <c r="C59" s="2">
        <v>-12.016372499999999</v>
      </c>
      <c r="D59" s="2">
        <v>-8.2145280069178597</v>
      </c>
      <c r="E59" s="2">
        <v>-14.728354741344802</v>
      </c>
      <c r="F59" s="2">
        <v>-12.820369515923545</v>
      </c>
      <c r="G59" s="2">
        <v>1.7250719999999999</v>
      </c>
      <c r="H59" s="2">
        <v>19.517209372092907</v>
      </c>
    </row>
    <row r="60" spans="1:8" x14ac:dyDescent="0.3">
      <c r="A60" t="s">
        <v>12</v>
      </c>
      <c r="B60">
        <v>2022</v>
      </c>
      <c r="C60" s="2">
        <v>4.0374934360000001</v>
      </c>
      <c r="D60" s="2">
        <v>8.0190584826028299</v>
      </c>
      <c r="E60" s="2">
        <v>3.9238515862779053</v>
      </c>
      <c r="F60" s="2">
        <v>-2.1865714504585156</v>
      </c>
      <c r="G60" s="2">
        <v>1.4315519999999999</v>
      </c>
      <c r="H60" s="2">
        <v>6.1637164891326961</v>
      </c>
    </row>
    <row r="61" spans="1:8" x14ac:dyDescent="0.3">
      <c r="A61" t="s">
        <v>12</v>
      </c>
      <c r="B61">
        <v>2023</v>
      </c>
      <c r="C61" s="2">
        <v>0.958446625</v>
      </c>
      <c r="D61" s="2">
        <v>2.3708737754617459E-2</v>
      </c>
      <c r="E61" s="2">
        <v>1.2920327374955036</v>
      </c>
      <c r="F61" s="2">
        <v>1.9828383131675054</v>
      </c>
      <c r="G61" s="2">
        <v>1.138031</v>
      </c>
      <c r="H61" s="2">
        <v>10.787666446261596</v>
      </c>
    </row>
    <row r="62" spans="1:8" x14ac:dyDescent="0.3">
      <c r="A62" t="s">
        <v>13</v>
      </c>
      <c r="B62">
        <v>2014</v>
      </c>
      <c r="C62" s="2">
        <v>6.3479874799999996</v>
      </c>
      <c r="D62" s="2">
        <v>7.5003612826416628</v>
      </c>
      <c r="E62" s="2">
        <v>6.7174996916788103</v>
      </c>
      <c r="F62" s="2">
        <v>1.8730139704055091</v>
      </c>
      <c r="G62" s="2">
        <v>1.9293752279783365</v>
      </c>
      <c r="H62" s="2">
        <v>3.0530553080051277</v>
      </c>
    </row>
    <row r="63" spans="1:8" x14ac:dyDescent="0.3">
      <c r="A63" t="s">
        <v>13</v>
      </c>
      <c r="B63">
        <v>2015</v>
      </c>
      <c r="C63" s="2">
        <v>6.3483097150000001</v>
      </c>
      <c r="D63" s="2">
        <v>6.5069084528675205</v>
      </c>
      <c r="E63" s="2">
        <v>7.413640779676129</v>
      </c>
      <c r="F63" s="2">
        <v>0.73611896294174528</v>
      </c>
      <c r="G63" s="2">
        <v>1.8401801071530308</v>
      </c>
      <c r="H63" s="2">
        <v>-0.71968278932669705</v>
      </c>
    </row>
    <row r="64" spans="1:8" x14ac:dyDescent="0.3">
      <c r="A64" t="s">
        <v>13</v>
      </c>
      <c r="B64">
        <v>2016</v>
      </c>
      <c r="C64" s="2">
        <v>7.1494567529999999</v>
      </c>
      <c r="D64" s="2">
        <v>8.1887349341450744</v>
      </c>
      <c r="E64" s="2">
        <v>8.174153963859581</v>
      </c>
      <c r="F64" s="2">
        <v>-0.96300132867544619</v>
      </c>
      <c r="G64" s="2">
        <v>2.5985080349764562</v>
      </c>
      <c r="H64" s="2">
        <v>1.2803117382458993</v>
      </c>
    </row>
    <row r="65" spans="1:8" x14ac:dyDescent="0.3">
      <c r="A65" t="s">
        <v>13</v>
      </c>
      <c r="B65">
        <v>2017</v>
      </c>
      <c r="C65" s="2">
        <v>6.9309883250000004</v>
      </c>
      <c r="D65" s="2">
        <v>7.0194577585201046</v>
      </c>
      <c r="E65" s="2">
        <v>7.3564353019258419</v>
      </c>
      <c r="F65" s="2">
        <v>4.2491447400463471</v>
      </c>
      <c r="G65" s="2">
        <v>3.1223877840866816</v>
      </c>
      <c r="H65" s="2">
        <v>2.3202599468014569</v>
      </c>
    </row>
    <row r="66" spans="1:8" x14ac:dyDescent="0.3">
      <c r="A66" t="s">
        <v>13</v>
      </c>
      <c r="B66">
        <v>2018</v>
      </c>
      <c r="C66" s="2">
        <v>6.3414855709999998</v>
      </c>
      <c r="D66" s="2">
        <v>7.3029841076246385</v>
      </c>
      <c r="E66" s="2">
        <v>6.7426058971701224</v>
      </c>
      <c r="F66" s="2">
        <v>1.11765356616867</v>
      </c>
      <c r="G66" s="2">
        <v>2.8683382607363828</v>
      </c>
      <c r="H66" s="2">
        <v>3.7406538308698742</v>
      </c>
    </row>
    <row r="67" spans="1:8" x14ac:dyDescent="0.3">
      <c r="A67" t="s">
        <v>13</v>
      </c>
      <c r="B67">
        <v>2019</v>
      </c>
      <c r="C67" s="2">
        <v>6.1185256609999996</v>
      </c>
      <c r="D67" s="2">
        <v>5.469628739259818</v>
      </c>
      <c r="E67" s="2">
        <v>7.2433588278306758</v>
      </c>
      <c r="F67" s="2">
        <v>1.2049501829222891</v>
      </c>
      <c r="G67" s="2">
        <v>2.3011749859475743</v>
      </c>
      <c r="H67" s="2">
        <v>0.69707630104534246</v>
      </c>
    </row>
    <row r="68" spans="1:8" x14ac:dyDescent="0.3">
      <c r="A68" t="s">
        <v>13</v>
      </c>
      <c r="B68">
        <v>2020</v>
      </c>
      <c r="C68" s="2">
        <v>-9.51829474</v>
      </c>
      <c r="D68" s="2">
        <v>-13.121097355767361</v>
      </c>
      <c r="E68" s="2">
        <v>-9.1272079405708411</v>
      </c>
      <c r="F68" s="2">
        <v>-0.19421886386032838</v>
      </c>
      <c r="G68" s="2">
        <v>1.8858636321117079</v>
      </c>
      <c r="H68" s="2">
        <v>1.6504901854718952</v>
      </c>
    </row>
    <row r="69" spans="1:8" x14ac:dyDescent="0.3">
      <c r="A69" t="s">
        <v>13</v>
      </c>
      <c r="B69">
        <v>2021</v>
      </c>
      <c r="C69" s="2">
        <v>5.7147331340000003</v>
      </c>
      <c r="D69" s="2">
        <v>8.5294081085000641</v>
      </c>
      <c r="E69" s="2">
        <v>5.3665446563285997</v>
      </c>
      <c r="F69" s="2">
        <v>-0.29096127020974905</v>
      </c>
      <c r="G69" s="2">
        <v>3.040788553100473</v>
      </c>
      <c r="H69" s="2">
        <v>2.2824784602485977</v>
      </c>
    </row>
    <row r="70" spans="1:8" x14ac:dyDescent="0.3">
      <c r="A70" t="s">
        <v>13</v>
      </c>
      <c r="B70">
        <v>2022</v>
      </c>
      <c r="C70" s="2">
        <v>7.5809821279999996</v>
      </c>
      <c r="D70" s="2">
        <v>6.5228829975747118</v>
      </c>
      <c r="E70" s="2">
        <v>9.2289937898674594</v>
      </c>
      <c r="F70" s="2">
        <v>0.48018751456591247</v>
      </c>
      <c r="G70" s="2">
        <v>2.347509723336898</v>
      </c>
      <c r="H70" s="2">
        <v>5.4886482020200873</v>
      </c>
    </row>
    <row r="71" spans="1:8" x14ac:dyDescent="0.3">
      <c r="A71" t="s">
        <v>13</v>
      </c>
      <c r="B71">
        <v>2023</v>
      </c>
      <c r="C71" s="2">
        <v>5.5458511709999998</v>
      </c>
      <c r="D71" s="2">
        <v>3.5908636237018072</v>
      </c>
      <c r="E71" s="2">
        <v>7.1245739745995849</v>
      </c>
      <c r="F71" s="2">
        <v>1.1869701996260318</v>
      </c>
      <c r="G71" s="2">
        <v>2.0854107999024731</v>
      </c>
      <c r="H71" s="2">
        <v>4.5964850619076856</v>
      </c>
    </row>
    <row r="72" spans="1:8" x14ac:dyDescent="0.3">
      <c r="A72" t="s">
        <v>14</v>
      </c>
      <c r="B72">
        <v>2014</v>
      </c>
      <c r="C72" s="2">
        <v>3.9355402769999999</v>
      </c>
      <c r="D72" s="2">
        <v>3.8027643640614457</v>
      </c>
      <c r="E72" s="2">
        <v>4.2962637583351011</v>
      </c>
      <c r="F72" s="2">
        <v>3.2786885245901698</v>
      </c>
      <c r="G72" s="2">
        <v>21.818488078267855</v>
      </c>
      <c r="H72" s="2">
        <v>-0.26727004163480217</v>
      </c>
    </row>
    <row r="73" spans="1:8" x14ac:dyDescent="0.3">
      <c r="A73" t="s">
        <v>14</v>
      </c>
      <c r="B73">
        <v>2015</v>
      </c>
      <c r="C73" s="2">
        <v>2.9767993160000001</v>
      </c>
      <c r="D73" s="2">
        <v>-2.5130899448876391</v>
      </c>
      <c r="E73" s="2">
        <v>4.2333465792870868</v>
      </c>
      <c r="F73" s="2">
        <v>-0.36075036075035882</v>
      </c>
      <c r="G73" s="2">
        <v>22.654182689049165</v>
      </c>
      <c r="H73" s="2">
        <v>3.0719550096641797</v>
      </c>
    </row>
    <row r="74" spans="1:8" x14ac:dyDescent="0.3">
      <c r="A74" t="s">
        <v>14</v>
      </c>
      <c r="B74">
        <v>2016</v>
      </c>
      <c r="C74" s="2">
        <v>3.5886436960000001</v>
      </c>
      <c r="D74" s="2">
        <v>2.6264460913480576</v>
      </c>
      <c r="E74" s="2">
        <v>3.0966927760040335</v>
      </c>
      <c r="F74" s="2">
        <v>-0.43446777697320726</v>
      </c>
      <c r="G74" s="2">
        <v>20.486523610258221</v>
      </c>
      <c r="H74" s="2">
        <v>0.48962702899872568</v>
      </c>
    </row>
    <row r="75" spans="1:8" x14ac:dyDescent="0.3">
      <c r="A75" t="s">
        <v>14</v>
      </c>
      <c r="B75">
        <v>2017</v>
      </c>
      <c r="C75" s="2">
        <v>4.5129263179999999</v>
      </c>
      <c r="D75" s="2">
        <v>6.7878857271709307</v>
      </c>
      <c r="E75" s="2">
        <v>3.6085506831587111</v>
      </c>
      <c r="F75" s="2">
        <v>2.9090909090909065</v>
      </c>
      <c r="G75" s="2">
        <v>29.763651752570091</v>
      </c>
      <c r="H75" s="2">
        <v>2.8940419140037363</v>
      </c>
    </row>
    <row r="76" spans="1:8" x14ac:dyDescent="0.3">
      <c r="A76" t="s">
        <v>14</v>
      </c>
      <c r="B76">
        <v>2018</v>
      </c>
      <c r="C76" s="2">
        <v>3.5171141850000001</v>
      </c>
      <c r="D76" s="2">
        <v>5.6198228812647528</v>
      </c>
      <c r="E76" s="2">
        <v>3.2382270090287193</v>
      </c>
      <c r="F76" s="2">
        <v>3.1095406360424107</v>
      </c>
      <c r="G76" s="2">
        <v>21.759291501698151</v>
      </c>
      <c r="H76" s="2">
        <v>3.6041004347622732</v>
      </c>
    </row>
    <row r="77" spans="1:8" x14ac:dyDescent="0.3">
      <c r="A77" t="s">
        <v>14</v>
      </c>
      <c r="B77">
        <v>2019</v>
      </c>
      <c r="C77" s="2">
        <v>1.3450587409999999</v>
      </c>
      <c r="D77" s="2">
        <v>-1.0450863160780841</v>
      </c>
      <c r="E77" s="2">
        <v>2.1031582355534937</v>
      </c>
      <c r="F77" s="2">
        <v>6.9225496915695572</v>
      </c>
      <c r="G77" s="2">
        <v>28.094993576463619</v>
      </c>
      <c r="H77" s="2">
        <v>-0.20441464095767969</v>
      </c>
    </row>
    <row r="78" spans="1:8" x14ac:dyDescent="0.3">
      <c r="A78" t="s">
        <v>14</v>
      </c>
      <c r="B78">
        <v>2020</v>
      </c>
      <c r="C78" s="2">
        <v>-3.86979893</v>
      </c>
      <c r="D78" s="2">
        <v>-0.19151200747184305</v>
      </c>
      <c r="E78" s="2">
        <v>-4.2170488992372839</v>
      </c>
      <c r="F78" s="2">
        <v>-4.2307692307692264</v>
      </c>
      <c r="G78" s="2">
        <v>23.100300518360761</v>
      </c>
      <c r="H78" s="2">
        <v>-2.4385905692854664</v>
      </c>
    </row>
    <row r="79" spans="1:8" x14ac:dyDescent="0.3">
      <c r="A79" t="s">
        <v>14</v>
      </c>
      <c r="B79">
        <v>2021</v>
      </c>
      <c r="C79" s="2">
        <v>9.6907668709999992</v>
      </c>
      <c r="D79" s="2">
        <v>15.544737255127103</v>
      </c>
      <c r="E79" s="2">
        <v>7.6766797711906349</v>
      </c>
      <c r="F79" s="2">
        <v>11.311914323962526</v>
      </c>
      <c r="G79" s="2">
        <v>31.620740017912773</v>
      </c>
      <c r="H79" s="2">
        <v>10.263766709231774</v>
      </c>
    </row>
    <row r="80" spans="1:8" x14ac:dyDescent="0.3">
      <c r="A80" t="s">
        <v>14</v>
      </c>
      <c r="B80">
        <v>2022</v>
      </c>
      <c r="C80" s="2">
        <v>3.8380767850000002</v>
      </c>
      <c r="D80" s="2">
        <v>2.8978345692098202</v>
      </c>
      <c r="E80" s="2">
        <v>4.8725683630082841</v>
      </c>
      <c r="F80" s="2">
        <v>-7.6368009621166522</v>
      </c>
      <c r="G80" s="2">
        <v>29.84379759508758</v>
      </c>
      <c r="H80" s="2">
        <v>13.478138011365459</v>
      </c>
    </row>
    <row r="81" spans="1:8" x14ac:dyDescent="0.3">
      <c r="A81" t="s">
        <v>14</v>
      </c>
      <c r="B81">
        <v>2023</v>
      </c>
      <c r="C81" s="2">
        <v>1.075031751</v>
      </c>
      <c r="D81" s="2">
        <v>-2.8884916238792187</v>
      </c>
      <c r="E81" s="2">
        <v>2.2803444879917976</v>
      </c>
      <c r="F81" s="2">
        <v>2.6041666666666714</v>
      </c>
      <c r="G81" s="2">
        <v>34.948515307927416</v>
      </c>
      <c r="H81" s="2">
        <v>-3.069029943647763</v>
      </c>
    </row>
    <row r="82" spans="1:8" x14ac:dyDescent="0.3">
      <c r="A82" t="s">
        <v>15</v>
      </c>
      <c r="B82">
        <v>2014</v>
      </c>
      <c r="C82" s="2">
        <v>0.984468864</v>
      </c>
      <c r="D82" s="2">
        <v>-8.0875671448438879E-2</v>
      </c>
      <c r="E82" s="2">
        <v>2.032611739044583</v>
      </c>
      <c r="F82" s="2">
        <v>-0.28802253299311076</v>
      </c>
      <c r="G82" s="2">
        <v>1.2214531801399844</v>
      </c>
      <c r="H82" s="2">
        <v>1.441465365280294</v>
      </c>
    </row>
    <row r="83" spans="1:8" x14ac:dyDescent="0.3">
      <c r="A83" t="s">
        <v>15</v>
      </c>
      <c r="B83">
        <v>2015</v>
      </c>
      <c r="C83" s="2">
        <v>3.134047249</v>
      </c>
      <c r="D83" s="2">
        <v>2.9532861351170254</v>
      </c>
      <c r="E83" s="2">
        <v>5.07390753680437</v>
      </c>
      <c r="F83" s="2">
        <v>-6.4665744316689029</v>
      </c>
      <c r="G83" s="2">
        <v>2.2246854895978418</v>
      </c>
      <c r="H83" s="2">
        <v>0.72211357341251414</v>
      </c>
    </row>
    <row r="84" spans="1:8" x14ac:dyDescent="0.3">
      <c r="A84" t="s">
        <v>15</v>
      </c>
      <c r="B84">
        <v>2016</v>
      </c>
      <c r="C84" s="2">
        <v>3.4351577170000001</v>
      </c>
      <c r="D84" s="2">
        <v>2.6431864409218804</v>
      </c>
      <c r="E84" s="2">
        <v>4.6825956282055046</v>
      </c>
      <c r="F84" s="2">
        <v>-1.1576874179024372</v>
      </c>
      <c r="G84" s="2">
        <v>0.84336434071861832</v>
      </c>
      <c r="H84" s="2">
        <v>2.6361676199892798</v>
      </c>
    </row>
    <row r="85" spans="1:8" x14ac:dyDescent="0.3">
      <c r="A85" t="s">
        <v>15</v>
      </c>
      <c r="B85">
        <v>2017</v>
      </c>
      <c r="C85" s="2">
        <v>4.1776810319999997</v>
      </c>
      <c r="D85" s="2">
        <v>1.7067358354771613</v>
      </c>
      <c r="E85" s="2">
        <v>5.6407337677864433</v>
      </c>
      <c r="F85" s="2">
        <v>4.8218242866975487</v>
      </c>
      <c r="G85" s="2">
        <v>1.8155026010198714</v>
      </c>
      <c r="H85" s="2">
        <v>1.8999449899776977</v>
      </c>
    </row>
    <row r="86" spans="1:8" x14ac:dyDescent="0.3">
      <c r="A86" t="s">
        <v>15</v>
      </c>
      <c r="B86">
        <v>2018</v>
      </c>
      <c r="C86" s="2">
        <v>4.2228702870000001</v>
      </c>
      <c r="D86" s="2">
        <v>2.8563347884438741</v>
      </c>
      <c r="E86" s="2">
        <v>4.8022242960185793</v>
      </c>
      <c r="F86" s="2">
        <v>6.096792695884389</v>
      </c>
      <c r="G86" s="2">
        <v>2.7127983513866241</v>
      </c>
      <c r="H86" s="2">
        <v>1.4285861642072746</v>
      </c>
    </row>
    <row r="87" spans="1:8" x14ac:dyDescent="0.3">
      <c r="A87" t="s">
        <v>15</v>
      </c>
      <c r="B87">
        <v>2019</v>
      </c>
      <c r="C87" s="2">
        <v>2.1145577960000002</v>
      </c>
      <c r="D87" s="2">
        <v>2.2574676527113979E-2</v>
      </c>
      <c r="E87" s="2">
        <v>3.8453056134064099</v>
      </c>
      <c r="F87" s="2">
        <v>-0.98004460790829739</v>
      </c>
      <c r="G87" s="2">
        <v>1.0173487758004123</v>
      </c>
      <c r="H87" s="2">
        <v>1.0144234064249673</v>
      </c>
    </row>
    <row r="88" spans="1:8" x14ac:dyDescent="0.3">
      <c r="A88" t="s">
        <v>15</v>
      </c>
      <c r="B88">
        <v>2020</v>
      </c>
      <c r="C88" s="2">
        <v>-6.0500384699999996</v>
      </c>
      <c r="D88" s="2">
        <v>-5.2755764713308508</v>
      </c>
      <c r="E88" s="2">
        <v>-6.9179592226136606</v>
      </c>
      <c r="F88" s="2">
        <v>-3.1589781838523265</v>
      </c>
      <c r="G88" s="2">
        <v>-0.85798952727449262</v>
      </c>
      <c r="H88" s="2">
        <v>-1.2987750574158099</v>
      </c>
    </row>
    <row r="89" spans="1:8" x14ac:dyDescent="0.3">
      <c r="A89" t="s">
        <v>15</v>
      </c>
      <c r="B89">
        <v>2021</v>
      </c>
      <c r="C89" s="2">
        <v>1.5681817650000001</v>
      </c>
      <c r="D89" s="2">
        <v>3.6705121064423167</v>
      </c>
      <c r="E89" s="2">
        <v>0.24874857356276436</v>
      </c>
      <c r="F89" s="2">
        <v>2.2455398815153416</v>
      </c>
      <c r="G89" s="2">
        <v>3.0398815362560714</v>
      </c>
      <c r="H89" s="2">
        <v>1.7710722634539593</v>
      </c>
    </row>
    <row r="90" spans="1:8" x14ac:dyDescent="0.3">
      <c r="A90" t="s">
        <v>15</v>
      </c>
      <c r="B90">
        <v>2022</v>
      </c>
      <c r="C90" s="2">
        <v>2.462769341</v>
      </c>
      <c r="D90" s="2">
        <v>-9.2836650270285759E-2</v>
      </c>
      <c r="E90" s="2">
        <v>4.0798841018846446</v>
      </c>
      <c r="F90" s="2">
        <v>2.4865316010220369</v>
      </c>
      <c r="G90" s="2">
        <v>2.3917959410139544</v>
      </c>
      <c r="H90" s="2">
        <v>4.7669957873565352</v>
      </c>
    </row>
    <row r="91" spans="1:8" x14ac:dyDescent="0.3">
      <c r="A91" t="s">
        <v>15</v>
      </c>
      <c r="B91">
        <v>2023</v>
      </c>
      <c r="C91" s="2">
        <v>1.8872572510000001</v>
      </c>
      <c r="D91" s="2">
        <v>-2.2707780479769326</v>
      </c>
      <c r="E91" s="2">
        <v>4.4865412061451053</v>
      </c>
      <c r="F91" s="2">
        <v>1.9922649610969643</v>
      </c>
      <c r="G91" s="2">
        <v>1.2653285005047608</v>
      </c>
      <c r="H91" s="2">
        <v>1.2202381182205784</v>
      </c>
    </row>
    <row r="92" spans="1:8" x14ac:dyDescent="0.3">
      <c r="A92" t="s">
        <v>16</v>
      </c>
      <c r="B92">
        <v>2014</v>
      </c>
      <c r="C92" s="2">
        <v>6.4222431210000002</v>
      </c>
      <c r="D92" s="2">
        <v>6.2390850545800589</v>
      </c>
      <c r="E92" s="2">
        <v>7.3120501563127931</v>
      </c>
      <c r="F92" s="2">
        <v>3.2034626369745922</v>
      </c>
      <c r="G92" s="2">
        <v>3.9408618905196091</v>
      </c>
      <c r="H92" s="2">
        <v>3.6981379680881759</v>
      </c>
    </row>
    <row r="93" spans="1:8" x14ac:dyDescent="0.3">
      <c r="A93" t="s">
        <v>16</v>
      </c>
      <c r="B93">
        <v>2015</v>
      </c>
      <c r="C93" s="2">
        <v>6.9871543059999999</v>
      </c>
      <c r="D93" s="2">
        <v>9.1931552773343697</v>
      </c>
      <c r="E93" s="2">
        <v>7.0460200085556153</v>
      </c>
      <c r="F93" s="2">
        <v>2.5070238062575783</v>
      </c>
      <c r="G93" s="2">
        <v>4.931907733290215</v>
      </c>
      <c r="H93" s="2">
        <v>-1.7165117074965508</v>
      </c>
    </row>
    <row r="94" spans="1:8" x14ac:dyDescent="0.3">
      <c r="A94" t="s">
        <v>16</v>
      </c>
      <c r="B94">
        <v>2016</v>
      </c>
      <c r="C94" s="2">
        <v>6.690008927</v>
      </c>
      <c r="D94" s="2">
        <v>7.8256578593687465</v>
      </c>
      <c r="E94" s="2">
        <v>7.4646675434633494</v>
      </c>
      <c r="F94" s="2">
        <v>1.653772745064515</v>
      </c>
      <c r="G94" s="2">
        <v>4.9008930291674586</v>
      </c>
      <c r="H94" s="2">
        <v>1.8195359277991372</v>
      </c>
    </row>
    <row r="95" spans="1:8" x14ac:dyDescent="0.3">
      <c r="A95" t="s">
        <v>16</v>
      </c>
      <c r="B95">
        <v>2017</v>
      </c>
      <c r="C95" s="2">
        <v>6.9401903740000002</v>
      </c>
      <c r="D95" s="2">
        <v>8.2846051746181075</v>
      </c>
      <c r="E95" s="2">
        <v>7.1206957256041363</v>
      </c>
      <c r="F95" s="2">
        <v>3.1683866049494895</v>
      </c>
      <c r="G95" s="2">
        <v>5.0114872174968079</v>
      </c>
      <c r="H95" s="2">
        <v>4.3629201476643118</v>
      </c>
    </row>
    <row r="96" spans="1:8" x14ac:dyDescent="0.3">
      <c r="A96" t="s">
        <v>16</v>
      </c>
      <c r="B96">
        <v>2018</v>
      </c>
      <c r="C96" s="2">
        <v>7.4650068559999996</v>
      </c>
      <c r="D96" s="2">
        <v>8.988432763305326</v>
      </c>
      <c r="E96" s="2">
        <v>7.4579769279135064</v>
      </c>
      <c r="F96" s="2">
        <v>4.1154436210858023</v>
      </c>
      <c r="G96" s="2">
        <v>4.9982831962232765</v>
      </c>
      <c r="H96" s="2">
        <v>3.6266473002725945</v>
      </c>
    </row>
    <row r="97" spans="1:8" x14ac:dyDescent="0.3">
      <c r="A97" t="s">
        <v>16</v>
      </c>
      <c r="B97">
        <v>2019</v>
      </c>
      <c r="C97" s="2">
        <v>7.3592627009999996</v>
      </c>
      <c r="D97" s="2">
        <v>8.2093673169314201</v>
      </c>
      <c r="E97" s="2">
        <v>8.0820735627382874</v>
      </c>
      <c r="F97" s="2">
        <v>2.6671019482330109</v>
      </c>
      <c r="G97" s="2">
        <v>4.8210748610510024</v>
      </c>
      <c r="H97" s="2">
        <v>2.423226942292672</v>
      </c>
    </row>
    <row r="98" spans="1:8" x14ac:dyDescent="0.3">
      <c r="A98" t="s">
        <v>16</v>
      </c>
      <c r="B98">
        <v>2020</v>
      </c>
      <c r="C98" s="2">
        <v>2.8654132090000002</v>
      </c>
      <c r="D98" s="2">
        <v>4.3790534232763179</v>
      </c>
      <c r="E98" s="2">
        <v>2.0055818744424698</v>
      </c>
      <c r="F98" s="2">
        <v>3.0394185255144635</v>
      </c>
      <c r="G98" s="2">
        <v>4.5583619678242355</v>
      </c>
      <c r="H98" s="2">
        <v>1.4674781481081425</v>
      </c>
    </row>
    <row r="99" spans="1:8" x14ac:dyDescent="0.3">
      <c r="A99" t="s">
        <v>16</v>
      </c>
      <c r="B99">
        <v>2021</v>
      </c>
      <c r="C99" s="2">
        <v>2.553728526</v>
      </c>
      <c r="D99" s="2">
        <v>3.2068518705093112</v>
      </c>
      <c r="E99" s="2">
        <v>1.7490365390626437</v>
      </c>
      <c r="F99" s="2">
        <v>3.7107538451098776</v>
      </c>
      <c r="G99" s="2">
        <v>4.2731456619018733</v>
      </c>
      <c r="H99" s="2">
        <v>2.8807679290064243</v>
      </c>
    </row>
    <row r="100" spans="1:8" x14ac:dyDescent="0.3">
      <c r="A100" t="s">
        <v>16</v>
      </c>
      <c r="B100">
        <v>2022</v>
      </c>
      <c r="C100" s="2">
        <v>8.1235144679999998</v>
      </c>
      <c r="D100" s="2">
        <v>7.8661379349331213</v>
      </c>
      <c r="E100" s="2">
        <v>10.112137480093494</v>
      </c>
      <c r="F100" s="2">
        <v>3.4756473738608378</v>
      </c>
      <c r="G100" s="2">
        <v>4.3624059864867979</v>
      </c>
      <c r="H100" s="2">
        <v>4.0512423171263094</v>
      </c>
    </row>
    <row r="101" spans="1:8" x14ac:dyDescent="0.3">
      <c r="A101" t="s">
        <v>16</v>
      </c>
      <c r="B101">
        <v>2023</v>
      </c>
      <c r="C101" s="2">
        <v>5.0464307359999996</v>
      </c>
      <c r="D101" s="2">
        <v>3.7411565686571038</v>
      </c>
      <c r="E101" s="2">
        <v>6.8185305543404979</v>
      </c>
      <c r="F101" s="2">
        <v>3.8334557918199295</v>
      </c>
      <c r="G101" s="2">
        <v>4.3051592868617128</v>
      </c>
      <c r="H101" s="2">
        <v>1.9062313018393127</v>
      </c>
    </row>
    <row r="102" spans="1:8" x14ac:dyDescent="0.3">
      <c r="A102" t="s">
        <v>17</v>
      </c>
      <c r="B102" s="3">
        <v>2014</v>
      </c>
      <c r="C102" s="2">
        <v>4.4724984656963755</v>
      </c>
      <c r="D102" s="2">
        <v>-10.888993178164299</v>
      </c>
      <c r="E102" s="2">
        <v>7.8318305491224578</v>
      </c>
      <c r="F102" s="2">
        <v>-1.2436452193931444</v>
      </c>
      <c r="G102" s="2">
        <v>2.3422913323763046</v>
      </c>
      <c r="H102" s="2">
        <v>-0.72805110472585</v>
      </c>
    </row>
    <row r="103" spans="1:8" x14ac:dyDescent="0.3">
      <c r="A103" t="s">
        <v>17</v>
      </c>
      <c r="B103" s="3">
        <v>2015</v>
      </c>
      <c r="C103" s="2">
        <v>2.4800404021839739</v>
      </c>
      <c r="D103" s="2">
        <v>22.207121341225957</v>
      </c>
      <c r="E103" s="2">
        <v>4.5461138057738566</v>
      </c>
      <c r="F103" s="2">
        <v>-4.3845383869274883</v>
      </c>
      <c r="G103" s="2">
        <v>2.7036393033086448</v>
      </c>
      <c r="H103" s="2">
        <v>7.202726567203527</v>
      </c>
    </row>
    <row r="104" spans="1:8" x14ac:dyDescent="0.3">
      <c r="A104" t="s">
        <v>17</v>
      </c>
      <c r="B104" s="3">
        <v>2016</v>
      </c>
      <c r="C104" s="2">
        <v>3.0099306255335136</v>
      </c>
      <c r="D104" s="2">
        <v>7.6294125902371093</v>
      </c>
      <c r="E104" s="2">
        <v>5.5856264226405727</v>
      </c>
      <c r="F104" s="2">
        <v>-1.329821661680981</v>
      </c>
      <c r="G104" s="2">
        <v>0.33397246121617014</v>
      </c>
      <c r="H104" s="2">
        <v>0.14136707325886277</v>
      </c>
    </row>
    <row r="105" spans="1:8" x14ac:dyDescent="0.3">
      <c r="A105" t="s">
        <v>17</v>
      </c>
      <c r="B105" s="3">
        <v>2017</v>
      </c>
      <c r="C105" s="2">
        <v>-3.1824152248919546</v>
      </c>
      <c r="D105" s="2">
        <v>-26.50058310734677</v>
      </c>
      <c r="E105" s="2">
        <v>2.6281362803507449</v>
      </c>
      <c r="F105" s="2">
        <v>-2.9485078188255898</v>
      </c>
      <c r="G105" s="2">
        <v>0.42375096203898044</v>
      </c>
      <c r="H105" s="2">
        <v>-0.21279945542860901</v>
      </c>
    </row>
    <row r="106" spans="1:8" x14ac:dyDescent="0.3">
      <c r="A106" t="s">
        <v>17</v>
      </c>
      <c r="B106" s="3">
        <v>2018</v>
      </c>
      <c r="C106" s="2">
        <v>-0.46650217065878508</v>
      </c>
      <c r="D106" s="2">
        <v>5.2872090059785677</v>
      </c>
      <c r="E106" s="2">
        <v>-1.3795193372188095</v>
      </c>
      <c r="F106" s="2">
        <v>2.8938467358126303</v>
      </c>
      <c r="G106" s="2">
        <v>3.0800781298022368</v>
      </c>
      <c r="H106" s="2">
        <v>-1.3626949934396748</v>
      </c>
    </row>
    <row r="107" spans="1:8" x14ac:dyDescent="0.3">
      <c r="A107" t="s">
        <v>17</v>
      </c>
      <c r="B107" s="3">
        <v>2019</v>
      </c>
      <c r="C107" s="2">
        <v>24.212884008500097</v>
      </c>
      <c r="D107" s="2">
        <v>143.49349170399285</v>
      </c>
      <c r="E107" s="2">
        <v>0.30696399991654744</v>
      </c>
      <c r="F107" s="2">
        <v>2.4535179715475124</v>
      </c>
      <c r="G107" s="2">
        <v>-11.758373276240135</v>
      </c>
      <c r="H107" s="2">
        <v>5.1642834586998845</v>
      </c>
    </row>
    <row r="108" spans="1:8" x14ac:dyDescent="0.3">
      <c r="A108" t="s">
        <v>17</v>
      </c>
      <c r="B108" s="3">
        <v>2020</v>
      </c>
      <c r="C108" s="2">
        <v>31.725741672141339</v>
      </c>
      <c r="D108" s="2">
        <v>118.20963004120256</v>
      </c>
      <c r="E108" s="2">
        <v>-7.2730137947641254</v>
      </c>
      <c r="F108" s="2">
        <v>0.55830845013238672</v>
      </c>
      <c r="G108" s="2">
        <v>-32.955231620375883</v>
      </c>
      <c r="H108" s="2">
        <v>-19.226653104900237</v>
      </c>
    </row>
    <row r="109" spans="1:8" x14ac:dyDescent="0.3">
      <c r="A109" t="s">
        <v>17</v>
      </c>
      <c r="B109" s="3">
        <v>2021</v>
      </c>
      <c r="C109" s="2">
        <v>5.3631266272160047</v>
      </c>
      <c r="D109" s="2">
        <v>5.6523225549457834</v>
      </c>
      <c r="E109" s="2">
        <v>6.3701990846663819</v>
      </c>
      <c r="F109" s="2">
        <v>5.4904818143881755</v>
      </c>
      <c r="G109" s="2">
        <v>-11.55994438050584</v>
      </c>
      <c r="H109" s="2">
        <v>59.083849711071338</v>
      </c>
    </row>
    <row r="110" spans="1:8" x14ac:dyDescent="0.3">
      <c r="A110" t="s">
        <v>17</v>
      </c>
      <c r="B110" s="3">
        <v>2022</v>
      </c>
      <c r="C110" s="2">
        <v>-20.584244040572997</v>
      </c>
      <c r="D110" s="2">
        <v>-44.576866702749221</v>
      </c>
      <c r="E110" s="2">
        <v>2.4233676723234083</v>
      </c>
      <c r="F110" s="2">
        <v>5.3981279524537626</v>
      </c>
      <c r="G110" s="2">
        <v>-12.322638735566544</v>
      </c>
      <c r="H110" s="2">
        <v>11.458526307118461</v>
      </c>
    </row>
    <row r="111" spans="1:8" x14ac:dyDescent="0.3">
      <c r="A111" t="s">
        <v>17</v>
      </c>
      <c r="B111" s="3">
        <v>2023</v>
      </c>
      <c r="C111" s="2">
        <v>-18.117813376971824</v>
      </c>
      <c r="D111" s="2">
        <v>-56.966984119100537</v>
      </c>
      <c r="E111" s="2">
        <v>3.3365548701956413</v>
      </c>
      <c r="F111" s="2">
        <v>2.2598668780467506</v>
      </c>
      <c r="G111" s="2">
        <v>-2.4090238932745001</v>
      </c>
      <c r="H111" s="2">
        <v>-20.83343802712767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 Phan Tuấn</dc:creator>
  <cp:lastModifiedBy>Kha Phan Tuấn</cp:lastModifiedBy>
  <cp:lastPrinted>2026-03-16T02:44:37Z</cp:lastPrinted>
  <dcterms:created xsi:type="dcterms:W3CDTF">2025-03-19T14:12:54Z</dcterms:created>
  <dcterms:modified xsi:type="dcterms:W3CDTF">2026-03-16T14:19:39Z</dcterms:modified>
</cp:coreProperties>
</file>